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ini/Desktop/Bini/단위프로젝트/SKN30-FINAL-5Team/docs/requirements/"/>
    </mc:Choice>
  </mc:AlternateContent>
  <xr:revisionPtr revIDLastSave="0" documentId="13_ncr:1_{3559EEED-CDFF-714C-85CB-949869BC800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갠트 차트 템플릿" sheetId="1" r:id="rId1"/>
    <sheet name="요구사항-WBS-인수조건-테스트 추적표" sheetId="2" r:id="rId2"/>
  </sheets>
  <definedNames>
    <definedName name="_xlnm.Print_Area" localSheetId="0">'갠트 차트 템플릿'!$A$2:$AT$73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G66" i="1"/>
  <c r="G65" i="1"/>
  <c r="G64" i="1"/>
  <c r="G63" i="1"/>
  <c r="G62" i="1"/>
  <c r="G61" i="1"/>
  <c r="G60" i="1"/>
  <c r="G59" i="1"/>
  <c r="G58" i="1"/>
  <c r="G57" i="1"/>
  <c r="G56" i="1"/>
  <c r="G54" i="1"/>
  <c r="G53" i="1"/>
  <c r="G52" i="1"/>
  <c r="G51" i="1"/>
  <c r="G50" i="1"/>
  <c r="G49" i="1"/>
  <c r="G48" i="1"/>
  <c r="G47" i="1"/>
  <c r="G46" i="1"/>
  <c r="G45" i="1"/>
  <c r="G44" i="1"/>
  <c r="G43" i="1"/>
  <c r="G41" i="1"/>
  <c r="G40" i="1"/>
  <c r="G39" i="1"/>
  <c r="G38" i="1"/>
  <c r="G37" i="1"/>
  <c r="G36" i="1"/>
  <c r="G35" i="1"/>
  <c r="G34" i="1"/>
  <c r="G33" i="1"/>
  <c r="G31" i="1"/>
  <c r="G30" i="1"/>
  <c r="G29" i="1"/>
  <c r="G28" i="1"/>
  <c r="G27" i="1"/>
  <c r="G26" i="1"/>
  <c r="G25" i="1"/>
  <c r="G24" i="1"/>
  <c r="G23" i="1"/>
  <c r="G22" i="1"/>
  <c r="G21" i="1"/>
  <c r="G20" i="1"/>
  <c r="G18" i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<sst xmlns="http://schemas.openxmlformats.org/spreadsheetml/2006/main" count="762" uniqueCount="414">
  <si>
    <t>WBS</t>
  </si>
  <si>
    <t>프로젝트 이름</t>
  </si>
  <si>
    <t>팀명</t>
  </si>
  <si>
    <t>프로젝트 관리자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</si>
  <si>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</si>
  <si>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</si>
  <si>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</si>
  <si>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</si>
  <si>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</si>
  <si>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</si>
  <si>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</si>
  <si>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</si>
  <si>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30기 5팀</t>
  </si>
  <si>
    <t>박세빈</t>
  </si>
  <si>
    <t>1단계 · 기획/착수</t>
  </si>
  <si>
    <t>2단계 · 데이터/AI 설계</t>
  </si>
  <si>
    <t>3단계 · 구현/통합</t>
  </si>
  <si>
    <t>4단계 · 검증/제출</t>
  </si>
  <si>
    <t>1W 8/3~8/7</t>
  </si>
  <si>
    <t>2W 8/10~8/14</t>
  </si>
  <si>
    <t>3W 8/17~8/21</t>
  </si>
  <si>
    <t>4W 8/24~8/28</t>
  </si>
  <si>
    <t>5W 8/31~9/4</t>
  </si>
  <si>
    <t>6W 9/7~9/11</t>
  </si>
  <si>
    <t>7W 9/14~9/18</t>
  </si>
  <si>
    <t>월
3</t>
  </si>
  <si>
    <t>화
4</t>
  </si>
  <si>
    <t>수
5</t>
  </si>
  <si>
    <t>목
6</t>
  </si>
  <si>
    <t>금
7</t>
  </si>
  <si>
    <t>월
10</t>
  </si>
  <si>
    <t>화
11</t>
  </si>
  <si>
    <t>수
12</t>
  </si>
  <si>
    <t>목
13</t>
  </si>
  <si>
    <t>금
14</t>
  </si>
  <si>
    <t>화
18</t>
  </si>
  <si>
    <t>수
19</t>
  </si>
  <si>
    <t>목
20</t>
  </si>
  <si>
    <t>금
21</t>
  </si>
  <si>
    <t>월
24</t>
  </si>
  <si>
    <t>화
25</t>
  </si>
  <si>
    <t>수
26</t>
  </si>
  <si>
    <t>목
27</t>
  </si>
  <si>
    <t>금
28</t>
  </si>
  <si>
    <t>월
31</t>
  </si>
  <si>
    <t>화
1</t>
  </si>
  <si>
    <t>수
2</t>
  </si>
  <si>
    <t>목
3</t>
  </si>
  <si>
    <t>금
4</t>
  </si>
  <si>
    <t>월
7</t>
  </si>
  <si>
    <t>화
8</t>
  </si>
  <si>
    <t>수
9</t>
  </si>
  <si>
    <t>목
10</t>
  </si>
  <si>
    <t>금
11</t>
  </si>
  <si>
    <t>월
14</t>
  </si>
  <si>
    <t>화
15</t>
  </si>
  <si>
    <t>수
16</t>
  </si>
  <si>
    <t>목
17</t>
  </si>
  <si>
    <t>금
18</t>
  </si>
  <si>
    <t>1 </t>
  </si>
  <si>
    <t>프로젝트 기획·관리 및 발표</t>
  </si>
  <si>
    <t>⁠1.1</t>
  </si>
  <si>
    <t>요구사항 정의서 초안 정리</t>
  </si>
  <si>
    <t>기획PM</t>
  </si>
  <si>
    <t>⁠1.2</t>
  </si>
  <si>
    <t>F·POL·NFR ID/인수조건 추적 정리</t>
  </si>
  <si>
    <t>기획PM/기술리드</t>
  </si>
  <si>
    <t>⁠1.3</t>
  </si>
  <si>
    <t>프로젝트 기획서 초안 확정</t>
  </si>
  <si>
    <t>⁠1.4</t>
  </si>
  <si>
    <t>WBS 작성 및 팀 교차 검토</t>
  </si>
  <si>
    <t>4인 공동</t>
  </si>
  <si>
    <t>⁠1.5</t>
  </si>
  <si>
    <t>1W 산출물 제출</t>
  </si>
  <si>
    <t>⁠1.6</t>
  </si>
  <si>
    <t>중간 발표 PT 제작·리허설</t>
  </si>
  <si>
    <t>⁠1.7</t>
  </si>
  <si>
    <t>중간 발표</t>
  </si>
  <si>
    <t>2 </t>
  </si>
  <si>
    <t>데이터·DB·VectorDB/GraphDB</t>
  </si>
  <si>
    <t>⁠2.1</t>
  </si>
  <si>
    <t>수집 데이터 항목·출처·동의 범위 확정</t>
  </si>
  <si>
    <t>백엔드</t>
  </si>
  <si>
    <t>⁠2.2</t>
  </si>
  <si>
    <t>수집 파이프라인·품질/결측 기준 설계</t>
  </si>
  <si>
    <t>⁠2.3</t>
  </si>
  <si>
    <t>수집 데이터 보고서 작성·제출</t>
  </si>
  <si>
    <t>백엔드/기획PM</t>
  </si>
  <si>
    <t>⁠2.4</t>
  </si>
  <si>
    <t>사용자·루틴·수행·리포트 DB 스키마</t>
  </si>
  <si>
    <t>⁠2.5</t>
  </si>
  <si>
    <t>저장소·감사로그·보유/삭제 설계 문서</t>
  </si>
  <si>
    <t>백엔드/기술리드</t>
  </si>
  <si>
    <t>⁠2.6</t>
  </si>
  <si>
    <t>전처리 스키마·정규화·중복/결측 규칙</t>
  </si>
  <si>
    <t>⁠2.7</t>
  </si>
  <si>
    <t>운동/FITT·안전 규칙 데이터 전처리</t>
  </si>
  <si>
    <t>기술리드/백엔드</t>
  </si>
  <si>
    <t>⁠2.8</t>
  </si>
  <si>
    <t>웨어러블/비웨어러블 요약 전처리</t>
  </si>
  <si>
    <t>⁠2.9</t>
  </si>
  <si>
    <t>전처리 검증 및 결과서 제출</t>
  </si>
  <si>
    <t>⁠2.10</t>
  </si>
  <si>
    <t>VectorDB 청크·메타데이터·인덱스 구축</t>
  </si>
  <si>
    <t>⁠2.11</t>
  </si>
  <si>
    <t>GraphDB 온톨로지·관계·적재</t>
  </si>
  <si>
    <t>⁠2.12</t>
  </si>
  <si>
    <t>Vector/Graph 검색 품질 검증·결과서</t>
  </si>
  <si>
    <t>3 </t>
  </si>
  <si>
    <t>AI 시스템·멀티에이전트</t>
  </si>
  <si>
    <t>⁠3.1</t>
  </si>
  <si>
    <t>AI 시스템·멀티에이전트 아키텍처 설계</t>
  </si>
  <si>
    <t>기술리드</t>
  </si>
  <si>
    <t>⁠3.2</t>
  </si>
  <si>
    <t>FITT 규칙·안전 상태 전이 인터페이스</t>
  </si>
  <si>
    <t>⁠3.3</t>
  </si>
  <si>
    <t>Training·Recovery 에이전트 구현</t>
  </si>
  <si>
    <t>⁠3.4</t>
  </si>
  <si>
    <t>Safety 에이전트·BLOCKED 불변 구현</t>
  </si>
  <si>
    <t>⁠3.5</t>
  </si>
  <si>
    <t>Coordinator 오케스트레이션·설명 로그</t>
  </si>
  <si>
    <t>⁠3.6</t>
  </si>
  <si>
    <t>RAG·VectorDB·GraphDB 연동</t>
  </si>
  <si>
    <t>⁠3.7</t>
  </si>
  <si>
    <t>멀티에이전트 테스트 계획·인수 케이스</t>
  </si>
  <si>
    <t>기술리드/기획PM</t>
  </si>
  <si>
    <t>⁠3.8</t>
  </si>
  <si>
    <t>멀티에이전트 통합·안전 테스트</t>
  </si>
  <si>
    <t>⁠3.9</t>
  </si>
  <si>
    <t>AI 아키텍처·테스트 결과 보고서</t>
  </si>
  <si>
    <t>4 </t>
  </si>
  <si>
    <t>UX·LLM 연동 웹 애플리케이션</t>
  </si>
  <si>
    <t>⁠4.1</t>
  </si>
  <si>
    <t>정보 구조·폐쇄 루프 사용자 흐름</t>
  </si>
  <si>
    <t>프론트엔드/기획PM</t>
  </si>
  <si>
    <t>⁠4.2</t>
  </si>
  <si>
    <t>핵심 6개 화면 와이어프레임·프로토타입</t>
  </si>
  <si>
    <t>프론트엔드</t>
  </si>
  <si>
    <t>⁠4.3</t>
  </si>
  <si>
    <t>화면설계서 검토·제출</t>
  </si>
  <si>
    <t>⁠4.4</t>
  </si>
  <si>
    <t>소셜 로그인·세션·온보딩 구현</t>
  </si>
  <si>
    <t>프론트엔드/백엔드</t>
  </si>
  <si>
    <t>⁠4.5</t>
  </si>
  <si>
    <t>콜드스타트 주간 목표·루틴 구현</t>
  </si>
  <si>
    <t>기술리드/백엔드/프론트엔드</t>
  </si>
  <si>
    <t>⁠4.6</t>
  </si>
  <si>
    <t>체크인·에이전트 회의·조정 이유 UI</t>
  </si>
  <si>
    <t>프론트엔드/기술리드</t>
  </si>
  <si>
    <t>⁠4.7</t>
  </si>
  <si>
    <t>루틴 수정/확정·타이머·수행 상태</t>
  </si>
  <si>
    <t>⁠4.8</t>
  </si>
  <si>
    <t>사후 설문·수동/추가 운동 기록</t>
  </si>
  <si>
    <t>⁠4.9</t>
  </si>
  <si>
    <t>요청형 주간 리포트·다음 루틴 게이트</t>
  </si>
  <si>
    <t>⁠4.10</t>
  </si>
  <si>
    <t>웨어러블/비웨어러블·캘린더 어댑터</t>
  </si>
  <si>
    <t>⁠4.11</t>
  </si>
  <si>
    <t>API·DB·Frontend 통합/E2E 폐쇄 루프</t>
  </si>
  <si>
    <t>⁠4.12</t>
  </si>
  <si>
    <t>시스템 구성도·통합 빌드 제출</t>
  </si>
  <si>
    <t>백엔드/기술리드/프론트엔드</t>
  </si>
  <si>
    <t>5 </t>
  </si>
  <si>
    <t>서비스 검증·릴리스·최종 제출</t>
  </si>
  <si>
    <t>⁠5.1</t>
  </si>
  <si>
    <t>서비스 테스트 계획·요구사항 추적표</t>
  </si>
  <si>
    <t>⁠5.2</t>
  </si>
  <si>
    <t>기능·통합·E2E 테스트</t>
  </si>
  <si>
    <t>⁠5.3</t>
  </si>
  <si>
    <t>안전·경계값·FAILED 시나리오 테스트</t>
  </si>
  <si>
    <t>⁠5.4</t>
  </si>
  <si>
    <t>개인정보·보안·권한 철회/삭제 테스트</t>
  </si>
  <si>
    <t>⁠5.5</t>
  </si>
  <si>
    <t>초보자 사용성 테스트·이슈 수집</t>
  </si>
  <si>
    <t>⁠5.6</t>
  </si>
  <si>
    <t>결함 수정·회귀·성능 점검</t>
  </si>
  <si>
    <t>⁠5.7</t>
  </si>
  <si>
    <t>서비스 테스트 결과 보고서</t>
  </si>
  <si>
    <t>⁠5.8</t>
  </si>
  <si>
    <t>소스코드 정리·README·릴리스 패키지</t>
  </si>
  <si>
    <t>⁠5.9</t>
  </si>
  <si>
    <t>최종 발표 PT 제작·리허설</t>
  </si>
  <si>
    <t>⁠5.10</t>
  </si>
  <si>
    <t>시연영상 촬영·편집</t>
  </si>
  <si>
    <t>⁠5.11</t>
  </si>
  <si>
    <t>최종 발표·코드·영상 제출</t>
  </si>
  <si>
    <t>⁠5.12</t>
  </si>
  <si>
    <t>프로젝트 종료·백업·후속 백로그</t>
  </si>
  <si>
    <t>기획PM/4인 공동</t>
  </si>
  <si>
    <t>작성 근거 및 일정 기준</t>
  </si>
  <si>
    <t>요구사항 정의서 초안 NDJSON: MVP 기능·운영 정책·비기능 요구사항(F/POL/NFR)과 추적성 기준 반영</t>
  </si>
  <si>
    <t>프로젝트 기획서 제출 초안: MVP 폐쇄 루프, 데이터/아키텍처, 멀티에이전트, R&amp;R·테스트 범위 반영</t>
  </si>
  <si>
    <t>일정 우선순위: 사용자 제공 산출물 기한(2026-08-03~2026-09-18)을 기획서의 8주 예시보다 우선 적용</t>
  </si>
  <si>
    <t>담당 표기: 팀 구성에 따라 기획PM·백엔드·프론트엔드·기술리드 4개 역할만 사용하고 공동 작업은 역할 조합으로 기재</t>
  </si>
  <si>
    <r>
      <rPr>
        <b/>
        <sz val="9"/>
        <color rgb="FF1F1F1F"/>
        <rFont val="Batang"/>
        <family val="1"/>
        <charset val="129"/>
      </rPr>
      <t>월</t>
    </r>
    <r>
      <rPr>
        <b/>
        <sz val="9"/>
        <color rgb="FF1F1F1F"/>
        <rFont val="Roboto"/>
      </rPr>
      <t xml:space="preserve">
17</t>
    </r>
    <phoneticPr fontId="25" type="noConversion"/>
  </si>
  <si>
    <r>
      <rPr>
        <sz val="10"/>
        <color rgb="FF4A5568"/>
        <rFont val="Malgun Gothic"/>
        <family val="2"/>
        <charset val="129"/>
      </rPr>
      <t>일정</t>
    </r>
    <r>
      <rPr>
        <sz val="10"/>
        <color rgb="FF4A5568"/>
        <rFont val="Arial"/>
        <family val="2"/>
      </rPr>
      <t xml:space="preserve"> </t>
    </r>
    <r>
      <rPr>
        <sz val="10"/>
        <color rgb="FF4A5568"/>
        <rFont val="Malgun Gothic"/>
        <family val="2"/>
        <charset val="129"/>
      </rPr>
      <t>우선순위</t>
    </r>
    <r>
      <rPr>
        <sz val="10"/>
        <color rgb="FF4A5568"/>
        <rFont val="Arial"/>
        <family val="2"/>
      </rPr>
      <t xml:space="preserve">: </t>
    </r>
    <r>
      <rPr>
        <sz val="10"/>
        <color rgb="FF4A5568"/>
        <rFont val="Malgun Gothic"/>
        <family val="2"/>
        <charset val="129"/>
      </rPr>
      <t>산출물</t>
    </r>
    <r>
      <rPr>
        <sz val="10"/>
        <color rgb="FF4A5568"/>
        <rFont val="Arial"/>
        <family val="2"/>
      </rPr>
      <t xml:space="preserve"> </t>
    </r>
    <r>
      <rPr>
        <sz val="10"/>
        <color rgb="FF4A5568"/>
        <rFont val="Malgun Gothic"/>
        <family val="2"/>
        <charset val="129"/>
      </rPr>
      <t>기한</t>
    </r>
    <r>
      <rPr>
        <sz val="10"/>
        <color rgb="FF4A5568"/>
        <rFont val="Arial"/>
        <family val="2"/>
      </rPr>
      <t>(2026-08-03~2026-09-18)</t>
    </r>
    <phoneticPr fontId="25" type="noConversion"/>
  </si>
  <si>
    <t>요구사항-WBS-인수조건-테스트 추적표</t>
  </si>
  <si>
    <t>기준: 요구사항 정의서 정합성수정본 | AC·TC 세부 내용은 개발 전 확정하고 테스트 결과와 함께 갱신</t>
  </si>
  <si>
    <t>요구사항 ID</t>
  </si>
  <si>
    <t>요구사항명</t>
  </si>
  <si>
    <t>WBS 연결</t>
  </si>
  <si>
    <t>인수조건 ID</t>
  </si>
  <si>
    <t>테스트 ID</t>
  </si>
  <si>
    <t>상태</t>
  </si>
  <si>
    <t>검증 기준 요약</t>
  </si>
  <si>
    <t>F001</t>
  </si>
  <si>
    <t>운동 지속 핵심 메시지</t>
  </si>
  <si>
    <t>1.2, 1.4, 4.1</t>
  </si>
  <si>
    <t>AC-F001-01</t>
  </si>
  <si>
    <t>TC-F001-01</t>
  </si>
  <si>
    <t>초안</t>
  </si>
  <si>
    <t>주요 화면 문구가 운동 지속 관점으로 일치</t>
  </si>
  <si>
    <t>F002</t>
  </si>
  <si>
    <t>개인화 루틴</t>
  </si>
  <si>
    <t>3.2, 3.4, 4.2, 4.3</t>
  </si>
  <si>
    <t>AC-F002-01</t>
  </si>
  <si>
    <t>TC-F002-01</t>
  </si>
  <si>
    <t>목표·상태·가능 시간을 반영한 FITT 루틴 생성</t>
  </si>
  <si>
    <t>F003</t>
  </si>
  <si>
    <t>웨어러블 연동</t>
  </si>
  <si>
    <t>2.4, 4.2, 4.4</t>
  </si>
  <si>
    <t>AC-F003-01</t>
  </si>
  <si>
    <t>TC-F003-01</t>
  </si>
  <si>
    <t>탐색</t>
  </si>
  <si>
    <t>확정 데이터 항목과 미확정 기기·API·출처를 분리</t>
  </si>
  <si>
    <t>F004</t>
  </si>
  <si>
    <t>비웨어러블 지원</t>
  </si>
  <si>
    <t>2.4, 4.2, 4.3</t>
  </si>
  <si>
    <t>AC-F004-01</t>
  </si>
  <si>
    <t>TC-F004-01</t>
  </si>
  <si>
    <t>웨어러블 없이 수동 입력으로 핵심 흐름 이용</t>
  </si>
  <si>
    <t>F005</t>
  </si>
  <si>
    <t>주간 리포트 생성</t>
  </si>
  <si>
    <t>3.5, 4.2, 4.3</t>
  </si>
  <si>
    <t>AC-F005-01</t>
  </si>
  <si>
    <t>TC-F005-01</t>
  </si>
  <si>
    <t>요청 시 생성·저장 후 다음 루틴으로 연결</t>
  </si>
  <si>
    <t>F006</t>
  </si>
  <si>
    <t>앱 수행 자동 기록</t>
  </si>
  <si>
    <t>4.2, 4.3</t>
  </si>
  <si>
    <t>AC-F006-01</t>
  </si>
  <si>
    <t>TC-F006-01</t>
  </si>
  <si>
    <t>확정</t>
  </si>
  <si>
    <t>앱 타이머 기록만 수행 상태 확정에 사용</t>
  </si>
  <si>
    <t>F007</t>
  </si>
  <si>
    <t>변화 로그</t>
  </si>
  <si>
    <t>2.3, 4.2</t>
  </si>
  <si>
    <t>AC-F007-01</t>
  </si>
  <si>
    <t>TC-F007-01</t>
  </si>
  <si>
    <t>수행·설문·변경 전후와 출처를 저장</t>
  </si>
  <si>
    <t>F008</t>
  </si>
  <si>
    <t>패턴 분석</t>
  </si>
  <si>
    <t>3.4, 3.5</t>
  </si>
  <si>
    <t>AC-F008-01</t>
  </si>
  <si>
    <t>TC-F008-01</t>
  </si>
  <si>
    <t>90일 이내 요약정보로 방해 조건 분석</t>
  </si>
  <si>
    <t>F009</t>
  </si>
  <si>
    <t>AI 주간 회고</t>
  </si>
  <si>
    <t>3.5, 4.3</t>
  </si>
  <si>
    <t>AC-F009-01</t>
  </si>
  <si>
    <t>TC-F009-01</t>
  </si>
  <si>
    <t>유지·축소·상향 이유와 다음 행동 제시</t>
  </si>
  <si>
    <t>F010</t>
  </si>
  <si>
    <t>소셜 로그인</t>
  </si>
  <si>
    <t>4.1, 4.2</t>
  </si>
  <si>
    <t>AC-F010-01</t>
  </si>
  <si>
    <t>TC-F010-01</t>
  </si>
  <si>
    <t>제공자 ID만 사용하고 비밀번호는 수집하지 않음</t>
  </si>
  <si>
    <t>F011</t>
  </si>
  <si>
    <t>캘린더 연동</t>
  </si>
  <si>
    <t>4.1, 4.2, 4.4</t>
  </si>
  <si>
    <t>AC-F011-01</t>
  </si>
  <si>
    <t>TC-F011-01</t>
  </si>
  <si>
    <t>시간 후보·계획 등록, 수행 판정에는 미사용</t>
  </si>
  <si>
    <t>F025</t>
  </si>
  <si>
    <t>회원가입·온보딩</t>
  </si>
  <si>
    <t>4.1, 4.2, 4.3</t>
  </si>
  <si>
    <t>AC-F025-01</t>
  </si>
  <si>
    <t>TC-F025-01</t>
  </si>
  <si>
    <t>만 14세 이상·필수/선택·민감정보 동의 분리</t>
  </si>
  <si>
    <t>F026</t>
  </si>
  <si>
    <t>콜드스타트</t>
  </si>
  <si>
    <t>3.4, 4.2</t>
  </si>
  <si>
    <t>AC-F026-01</t>
  </si>
  <si>
    <t>TC-F026-01</t>
  </si>
  <si>
    <t>이전 리포트 없이 최초 주간 목표·루틴 생성</t>
  </si>
  <si>
    <t>F027</t>
  </si>
  <si>
    <t>루틴 수정·확정</t>
  </si>
  <si>
    <t>3.4, 4.3</t>
  </si>
  <si>
    <t>AC-F027-01</t>
  </si>
  <si>
    <t>TC-F027-01</t>
  </si>
  <si>
    <t>AI 수정 2회 후 직접 편집·확정</t>
  </si>
  <si>
    <t>F028</t>
  </si>
  <si>
    <t>타이머·수행 판정</t>
  </si>
  <si>
    <t>AC-F028-01</t>
  </si>
  <si>
    <t>TC-F028-01</t>
  </si>
  <si>
    <t>완료·부분·미수행을 앱 타이머 이력으로 구분</t>
  </si>
  <si>
    <t>F029</t>
  </si>
  <si>
    <t>에이전트 회의 UI</t>
  </si>
  <si>
    <t>AC-F029-01</t>
  </si>
  <si>
    <t>TC-F029-01</t>
  </si>
  <si>
    <t>에이전트 요약과 최종 조정 이유 표시</t>
  </si>
  <si>
    <t>POL-001</t>
  </si>
  <si>
    <t>주간 경계</t>
  </si>
  <si>
    <t>3.5, 4.2</t>
  </si>
  <si>
    <t>AC-POL001-01</t>
  </si>
  <si>
    <t>TC-POL001-01</t>
  </si>
  <si>
    <t>월요일 데이터 확정 후 생성 가능 상태 전환</t>
  </si>
  <si>
    <t>POL-002</t>
  </si>
  <si>
    <t>요청형 리포트</t>
  </si>
  <si>
    <t>AC-POL002-01</t>
  </si>
  <si>
    <t>TC-POL002-01</t>
  </si>
  <si>
    <t>사용자 확인 요청 시 생성·저장</t>
  </si>
  <si>
    <t>POL-003</t>
  </si>
  <si>
    <t>다음 루틴 게이트</t>
  </si>
  <si>
    <t>AC-POL003-01</t>
  </si>
  <si>
    <t>TC-POL003-01</t>
  </si>
  <si>
    <t>이전 리포트 생성·확인 후 다음 루틴 허용</t>
  </si>
  <si>
    <t>POL-004</t>
  </si>
  <si>
    <t>수행 상태</t>
  </si>
  <si>
    <t>AC-POL004-01</t>
  </si>
  <si>
    <t>TC-POL004-01</t>
  </si>
  <si>
    <t>앱 완료·중단·미시작 기준 상태 분류</t>
  </si>
  <si>
    <t>POL-005</t>
  </si>
  <si>
    <t>수행 확인 기준</t>
  </si>
  <si>
    <t>4.2, 4.3, 5.2</t>
  </si>
  <si>
    <t>AC-POL005-01</t>
  </si>
  <si>
    <t>TC-POL005-01</t>
  </si>
  <si>
    <t>외부 기록이 앱 수행 상태를 변경하지 않음</t>
  </si>
  <si>
    <t>POL-006</t>
  </si>
  <si>
    <t>사후 설문</t>
  </si>
  <si>
    <t>AC-POL006-01</t>
  </si>
  <si>
    <t>TC-POL006-01</t>
  </si>
  <si>
    <t>선택형 설문과 미수행 사유 처리</t>
  </si>
  <si>
    <t>POL-007</t>
  </si>
  <si>
    <t>다운시프트</t>
  </si>
  <si>
    <t>3.2, 3.4</t>
  </si>
  <si>
    <t>AC-POL007-01</t>
  </si>
  <si>
    <t>TC-POL007-01</t>
  </si>
  <si>
    <t>희망 시간 유지형 강도·세트·종목 조정</t>
  </si>
  <si>
    <t>POL-008</t>
  </si>
  <si>
    <t>안전 상태</t>
  </si>
  <si>
    <t>3.2, 3.6, 3.7, 5.2</t>
  </si>
  <si>
    <t>AC-POL008-01</t>
  </si>
  <si>
    <t>TC-POL008-01</t>
  </si>
  <si>
    <t>BLOCKED 불변·FAILED 시 추측 금지</t>
  </si>
  <si>
    <t>POL-009</t>
  </si>
  <si>
    <t>동의·권한 철회</t>
  </si>
  <si>
    <t>2.3, 2.4, 4.2, 4.3, 5.2</t>
  </si>
  <si>
    <t>AC-POL009-01</t>
  </si>
  <si>
    <t>TC-POL009-01</t>
  </si>
  <si>
    <t>정책안</t>
  </si>
  <si>
    <t>일반·민감·웨어러블·마케팅 동의를 분리</t>
  </si>
  <si>
    <t>POL-010</t>
  </si>
  <si>
    <t>데이터 수집·보유</t>
  </si>
  <si>
    <t>2.3, 2.4, 4.2, 5.2</t>
  </si>
  <si>
    <t>AC-POL010-01</t>
  </si>
  <si>
    <t>TC-POL010-01</t>
  </si>
  <si>
    <t>원본 24시간·요약 90일·리포트 12개월</t>
  </si>
  <si>
    <t>POL-011</t>
  </si>
  <si>
    <t>파기·접속기록</t>
  </si>
  <si>
    <t>2.3, 4.2, 5.2</t>
  </si>
  <si>
    <t>AC-POL011-01</t>
  </si>
  <si>
    <t>TC-POL011-01</t>
  </si>
  <si>
    <t>운영 DB 7일·백업 30일·관리자 접속기록 2년</t>
  </si>
  <si>
    <t>POL-012</t>
  </si>
  <si>
    <t>미접속 처리</t>
  </si>
  <si>
    <t>AC-POL012-01</t>
  </si>
  <si>
    <t>TC-POL012-01</t>
  </si>
  <si>
    <t>14일 복귀 분류·12개월 미접속 30일 사전 통지 후 삭제</t>
  </si>
  <si>
    <t>POL-013</t>
  </si>
  <si>
    <t>무료 체험·구독</t>
  </si>
  <si>
    <t>1.4, 4.1</t>
  </si>
  <si>
    <t>AC-POL013-01</t>
  </si>
  <si>
    <t>TC-POL013-01</t>
  </si>
  <si>
    <t>가설</t>
  </si>
  <si>
    <t>14일 무료 체험과 미접속 기준을 분리</t>
  </si>
  <si>
    <t>NFR-001</t>
  </si>
  <si>
    <t>설명 가능성</t>
  </si>
  <si>
    <t>AC-NFR001-01</t>
  </si>
  <si>
    <t>TC-NFR001-01</t>
  </si>
  <si>
    <t>필수</t>
  </si>
  <si>
    <t>내부 추론이 아닌 이해 가능한 요약 근거 표시</t>
  </si>
  <si>
    <t>NFR-002</t>
  </si>
  <si>
    <t>요구사항 추적성</t>
  </si>
  <si>
    <t>1.2, 1.7, 5.1</t>
  </si>
  <si>
    <t>AC-NFR002-01</t>
  </si>
  <si>
    <t>TC-NFR002-01</t>
  </si>
  <si>
    <t>본 시트에서 요구사항-WBS-AC-TC 연결 유지</t>
  </si>
  <si>
    <t>NFR-003</t>
  </si>
  <si>
    <t>실패 안전</t>
  </si>
  <si>
    <t>3.6, 5.2</t>
  </si>
  <si>
    <t>AC-NFR003-01</t>
  </si>
  <si>
    <t>TC-NFR003-01</t>
  </si>
  <si>
    <t>필수 규칙·에이전트·조회 실패 시 중단</t>
  </si>
  <si>
    <t>NFR-004</t>
  </si>
  <si>
    <t>개인정보 최소 처리</t>
  </si>
  <si>
    <t>AC-NFR004-01</t>
  </si>
  <si>
    <t>TC-NFR004-01</t>
  </si>
  <si>
    <t>가명 ID·최소 요약·LLM 원문 미저장</t>
  </si>
  <si>
    <t>NFR-005</t>
  </si>
  <si>
    <t>세션·접근 통제</t>
  </si>
  <si>
    <t>4.2, 5.2</t>
  </si>
  <si>
    <t>AC-NFR005-01</t>
  </si>
  <si>
    <t>TC-NFR005-01</t>
  </si>
  <si>
    <t>세션 만료·철회·탈퇴 즉시 보호 자원 차단</t>
  </si>
  <si>
    <t>NFR-006</t>
  </si>
  <si>
    <t>인수조건·테스트</t>
  </si>
  <si>
    <t>5.1, 5.2, 5.3</t>
  </si>
  <si>
    <t>AC-NFR006-01</t>
  </si>
  <si>
    <t>TC-NFR006-01</t>
  </si>
  <si>
    <t>개발 전 AC·TC 확정, 테스트 후 결과 연결</t>
  </si>
  <si>
    <r>
      <rPr>
        <b/>
        <sz val="14"/>
        <color rgb="FFFFFFFF"/>
        <rFont val="Malgun Gothic"/>
        <family val="2"/>
        <charset val="129"/>
      </rPr>
      <t>요구사항</t>
    </r>
    <r>
      <rPr>
        <b/>
        <sz val="14"/>
        <color rgb="FFFFFFFF"/>
        <rFont val="Arial"/>
        <family val="2"/>
      </rPr>
      <t>-WBS-</t>
    </r>
    <r>
      <rPr>
        <b/>
        <sz val="14"/>
        <color rgb="FFFFFFFF"/>
        <rFont val="Malgun Gothic"/>
        <family val="2"/>
        <charset val="129"/>
      </rPr>
      <t>인수조건</t>
    </r>
    <r>
      <rPr>
        <b/>
        <sz val="14"/>
        <color rgb="FFFFFFFF"/>
        <rFont val="Arial"/>
        <family val="2"/>
      </rPr>
      <t>-</t>
    </r>
    <r>
      <rPr>
        <b/>
        <sz val="14"/>
        <color rgb="FFFFFFFF"/>
        <rFont val="Malgun Gothic"/>
        <family val="2"/>
        <charset val="129"/>
      </rPr>
      <t>테스트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Malgun Gothic"/>
        <family val="2"/>
        <charset val="129"/>
      </rPr>
      <t>추적표</t>
    </r>
    <phoneticPr fontId="25" type="noConversion"/>
  </si>
  <si>
    <r>
      <rPr>
        <sz val="10"/>
        <color rgb="FF999999"/>
        <rFont val="Batang"/>
        <family val="1"/>
        <charset val="129"/>
      </rPr>
      <t>헬끼</t>
    </r>
    <r>
      <rPr>
        <sz val="10"/>
        <color rgb="FF999999"/>
        <rFont val="Roboto"/>
        <family val="1"/>
      </rPr>
      <t>(helkki)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</si>
</sst>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$&quot;#,##0.00"/>
    <numFmt numFmtId="177" formatCode="yyyy\-mm\-dd"/>
    <numFmt numFmtId="178" formatCode=";;;"/>
    <numFmt numFmtId="179" formatCode="0&quot;일&quot;"/>
  </numFmts>
  <fonts count="48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8"/>
      <name val="나눔명조"/>
      <family val="3"/>
      <charset val="129"/>
    </font>
    <font>
      <sz val="10"/>
      <color rgb="FF999999"/>
      <name val="Batang"/>
      <family val="1"/>
      <charset val="129"/>
    </font>
    <font>
      <sz val="10"/>
      <color rgb="FF999999"/>
      <name val="Roboto"/>
    </font>
    <font>
      <b/>
      <sz val="10"/>
      <color rgb="FF666666"/>
      <name val="Batang"/>
      <family val="1"/>
      <charset val="129"/>
    </font>
    <font>
      <b/>
      <sz val="10"/>
      <color rgb="FFFFFFFF"/>
      <name val="Arial"/>
      <family val="2"/>
    </font>
    <font>
      <b/>
      <sz val="9"/>
      <color rgb="FF1F1F1F"/>
      <name val="Roboto"/>
    </font>
    <font>
      <sz val="10"/>
      <color rgb="FF404040"/>
      <name val="Roboto"/>
    </font>
    <font>
      <sz val="11"/>
      <color rgb="FF404040"/>
      <name val="Roboto"/>
    </font>
    <font>
      <b/>
      <sz val="10"/>
      <color rgb="FF434343"/>
      <name val="Roboto"/>
    </font>
    <font>
      <sz val="10"/>
      <color rgb="FF404040"/>
      <name val="Arial"/>
      <family val="2"/>
    </font>
    <font>
      <b/>
      <sz val="10"/>
      <color rgb="FF000000"/>
      <name val="Arial"/>
      <family val="2"/>
    </font>
    <font>
      <sz val="10"/>
      <color rgb="FF4A5568"/>
      <name val="Arial"/>
      <family val="2"/>
    </font>
    <font>
      <b/>
      <sz val="9"/>
      <color rgb="FF1F1F1F"/>
      <name val="Batang"/>
      <family val="1"/>
      <charset val="129"/>
    </font>
    <font>
      <b/>
      <sz val="9"/>
      <color rgb="FF1F1F1F"/>
      <name val="Roboto"/>
      <family val="1"/>
      <charset val="129"/>
    </font>
    <font>
      <sz val="10"/>
      <color rgb="FF4A5568"/>
      <name val="Malgun Gothic"/>
      <family val="2"/>
      <charset val="129"/>
    </font>
    <font>
      <sz val="10"/>
      <color rgb="FF4A5568"/>
      <name val="Arial"/>
      <family val="2"/>
      <charset val="129"/>
    </font>
    <font>
      <i/>
      <sz val="10"/>
      <color rgb="FF1F2937"/>
      <name val="Arial"/>
      <family val="2"/>
    </font>
    <font>
      <sz val="10"/>
      <color rgb="FF202124"/>
      <name val="Arial"/>
      <family val="2"/>
    </font>
    <font>
      <b/>
      <sz val="14"/>
      <color rgb="FFFFFFFF"/>
      <name val="Arial"/>
      <family val="2"/>
    </font>
    <font>
      <b/>
      <sz val="14"/>
      <color rgb="FFFFFFFF"/>
      <name val="Malgun Gothic"/>
      <family val="2"/>
      <charset val="129"/>
    </font>
    <font>
      <b/>
      <sz val="14"/>
      <color rgb="FFFFFFFF"/>
      <name val="Arial"/>
      <family val="2"/>
      <charset val="129"/>
    </font>
    <font>
      <sz val="10"/>
      <color rgb="FF999999"/>
      <name val="Roboto"/>
      <family val="1"/>
    </font>
    <font>
      <sz val="10"/>
      <color rgb="FF999999"/>
      <name val="Roboto"/>
      <family val="1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0B5394"/>
      </patternFill>
    </fill>
    <fill>
      <patternFill patternType="solid">
        <fgColor rgb="FF45818E"/>
      </patternFill>
    </fill>
    <fill>
      <patternFill patternType="solid">
        <fgColor rgb="FFC65911"/>
      </patternFill>
    </fill>
    <fill>
      <patternFill patternType="solid">
        <fgColor rgb="FF806000"/>
      </patternFill>
    </fill>
    <fill>
      <patternFill patternType="solid">
        <fgColor rgb="FF2F75B5"/>
      </patternFill>
    </fill>
    <fill>
      <patternFill patternType="solid">
        <fgColor rgb="FF6B9CA5"/>
      </patternFill>
    </fill>
    <fill>
      <patternFill patternType="solid">
        <fgColor rgb="FFD66A20"/>
      </patternFill>
    </fill>
    <fill>
      <patternFill patternType="solid">
        <fgColor rgb="FFBF9000"/>
      </patternFill>
    </fill>
    <fill>
      <patternFill patternType="solid">
        <fgColor rgb="FFF5F9FD"/>
      </patternFill>
    </fill>
    <fill>
      <patternFill patternType="solid">
        <fgColor rgb="FFEDF5F6"/>
      </patternFill>
    </fill>
    <fill>
      <patternFill patternType="solid">
        <fgColor rgb="FFFFF1E8"/>
      </patternFill>
    </fill>
    <fill>
      <patternFill patternType="solid">
        <fgColor rgb="FFFFF8DD"/>
      </patternFill>
    </fill>
    <fill>
      <patternFill patternType="solid">
        <fgColor rgb="FFF2F2F2"/>
      </patternFill>
    </fill>
    <fill>
      <patternFill patternType="solid">
        <fgColor rgb="FFD0D0D0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9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CCCCCC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/>
      </top>
      <bottom style="thin">
        <color rgb="FFB7B7B7"/>
      </bottom>
      <diagonal/>
    </border>
    <border>
      <left/>
      <right/>
      <top/>
      <bottom style="thin">
        <color theme="3" tint="0.249977111117893"/>
      </bottom>
      <diagonal/>
    </border>
    <border>
      <left/>
      <right/>
      <top style="thin">
        <color theme="3" tint="0.249977111117893"/>
      </top>
      <bottom style="thick">
        <color rgb="FF0B5394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1" fillId="12" borderId="17" applyFill="0">
      <alignment horizontal="center" vertical="center"/>
    </xf>
  </cellStyleXfs>
  <cellXfs count="19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" fillId="0" borderId="0" xfId="0" applyFont="1"/>
    <xf numFmtId="0" fontId="15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8" fontId="16" fillId="2" borderId="0" xfId="0" applyNumberFormat="1" applyFont="1" applyFill="1" applyAlignment="1">
      <alignment vertical="center"/>
    </xf>
    <xf numFmtId="178" fontId="15" fillId="0" borderId="0" xfId="0" applyNumberFormat="1" applyFont="1" applyAlignment="1">
      <alignment vertical="center"/>
    </xf>
    <xf numFmtId="178" fontId="16" fillId="2" borderId="0" xfId="0" applyNumberFormat="1" applyFont="1" applyFill="1" applyAlignment="1">
      <alignment horizontal="center" vertical="center"/>
    </xf>
    <xf numFmtId="0" fontId="30" fillId="12" borderId="13" xfId="0" applyFont="1" applyFill="1" applyBorder="1" applyAlignment="1">
      <alignment horizontal="center" vertical="center" wrapText="1"/>
    </xf>
    <xf numFmtId="9" fontId="24" fillId="12" borderId="7" xfId="0" applyNumberFormat="1" applyFont="1" applyFill="1" applyBorder="1" applyAlignment="1">
      <alignment horizontal="center" vertical="center"/>
    </xf>
    <xf numFmtId="176" fontId="24" fillId="12" borderId="8" xfId="0" applyNumberFormat="1" applyFont="1" applyFill="1" applyBorder="1" applyAlignment="1">
      <alignment horizontal="center" vertical="center"/>
    </xf>
    <xf numFmtId="0" fontId="24" fillId="12" borderId="8" xfId="0" applyFont="1" applyFill="1" applyBorder="1" applyAlignment="1">
      <alignment horizontal="center" vertical="center"/>
    </xf>
    <xf numFmtId="9" fontId="24" fillId="12" borderId="9" xfId="0" applyNumberFormat="1" applyFont="1" applyFill="1" applyBorder="1" applyAlignment="1">
      <alignment horizontal="center" vertical="center"/>
    </xf>
    <xf numFmtId="176" fontId="24" fillId="12" borderId="10" xfId="0" applyNumberFormat="1" applyFont="1" applyFill="1" applyBorder="1" applyAlignment="1">
      <alignment horizontal="center" vertical="center"/>
    </xf>
    <xf numFmtId="0" fontId="24" fillId="12" borderId="10" xfId="0" applyFont="1" applyFill="1" applyBorder="1" applyAlignment="1">
      <alignment horizontal="center" vertical="center"/>
    </xf>
    <xf numFmtId="9" fontId="24" fillId="12" borderId="11" xfId="0" applyNumberFormat="1" applyFont="1" applyFill="1" applyBorder="1" applyAlignment="1">
      <alignment horizontal="center" vertical="center"/>
    </xf>
    <xf numFmtId="176" fontId="24" fillId="12" borderId="12" xfId="0" applyNumberFormat="1" applyFont="1" applyFill="1" applyBorder="1" applyAlignment="1">
      <alignment horizontal="center" vertical="center"/>
    </xf>
    <xf numFmtId="0" fontId="24" fillId="12" borderId="12" xfId="0" applyFont="1" applyFill="1" applyBorder="1" applyAlignment="1">
      <alignment horizontal="center" vertical="center"/>
    </xf>
    <xf numFmtId="0" fontId="30" fillId="13" borderId="13" xfId="0" applyFont="1" applyFill="1" applyBorder="1" applyAlignment="1">
      <alignment horizontal="center" vertical="center" wrapText="1"/>
    </xf>
    <xf numFmtId="0" fontId="24" fillId="13" borderId="8" xfId="0" applyFont="1" applyFill="1" applyBorder="1" applyAlignment="1">
      <alignment horizontal="center" vertical="center"/>
    </xf>
    <xf numFmtId="0" fontId="24" fillId="13" borderId="10" xfId="0" applyFont="1" applyFill="1" applyBorder="1" applyAlignment="1">
      <alignment horizontal="center" vertical="center"/>
    </xf>
    <xf numFmtId="0" fontId="24" fillId="13" borderId="12" xfId="0" applyFont="1" applyFill="1" applyBorder="1" applyAlignment="1">
      <alignment horizontal="center" vertical="center"/>
    </xf>
    <xf numFmtId="0" fontId="30" fillId="14" borderId="13" xfId="0" applyFont="1" applyFill="1" applyBorder="1" applyAlignment="1">
      <alignment horizontal="center" vertical="center" wrapText="1"/>
    </xf>
    <xf numFmtId="0" fontId="24" fillId="14" borderId="8" xfId="0" applyFont="1" applyFill="1" applyBorder="1" applyAlignment="1">
      <alignment horizontal="center" vertical="center"/>
    </xf>
    <xf numFmtId="0" fontId="24" fillId="14" borderId="10" xfId="0" applyFont="1" applyFill="1" applyBorder="1" applyAlignment="1">
      <alignment horizontal="center" vertical="center"/>
    </xf>
    <xf numFmtId="0" fontId="24" fillId="14" borderId="12" xfId="0" applyFont="1" applyFill="1" applyBorder="1" applyAlignment="1">
      <alignment horizontal="center" vertical="center"/>
    </xf>
    <xf numFmtId="0" fontId="30" fillId="15" borderId="13" xfId="0" applyFont="1" applyFill="1" applyBorder="1" applyAlignment="1">
      <alignment horizontal="center" vertical="center" wrapText="1"/>
    </xf>
    <xf numFmtId="0" fontId="24" fillId="15" borderId="8" xfId="0" applyFont="1" applyFill="1" applyBorder="1" applyAlignment="1">
      <alignment horizontal="center" vertical="center"/>
    </xf>
    <xf numFmtId="0" fontId="24" fillId="15" borderId="10" xfId="0" applyFont="1" applyFill="1" applyBorder="1" applyAlignment="1">
      <alignment horizontal="center" vertical="center"/>
    </xf>
    <xf numFmtId="0" fontId="24" fillId="15" borderId="12" xfId="0" applyFont="1" applyFill="1" applyBorder="1" applyAlignment="1">
      <alignment horizontal="center" vertical="center"/>
    </xf>
    <xf numFmtId="0" fontId="24" fillId="16" borderId="8" xfId="0" applyFont="1" applyFill="1" applyBorder="1" applyAlignment="1">
      <alignment horizontal="center" vertical="center"/>
    </xf>
    <xf numFmtId="0" fontId="24" fillId="16" borderId="10" xfId="0" applyFont="1" applyFill="1" applyBorder="1" applyAlignment="1">
      <alignment horizontal="center" vertical="center"/>
    </xf>
    <xf numFmtId="0" fontId="24" fillId="16" borderId="12" xfId="0" applyFont="1" applyFill="1" applyBorder="1" applyAlignment="1">
      <alignment horizontal="center" vertical="center"/>
    </xf>
    <xf numFmtId="49" fontId="21" fillId="17" borderId="6" xfId="0" applyNumberFormat="1" applyFont="1" applyFill="1" applyBorder="1" applyAlignment="1">
      <alignment horizontal="center" vertical="center" wrapText="1"/>
    </xf>
    <xf numFmtId="0" fontId="21" fillId="17" borderId="6" xfId="0" applyFont="1" applyFill="1" applyBorder="1" applyAlignment="1">
      <alignment vertical="center" wrapText="1"/>
    </xf>
    <xf numFmtId="0" fontId="21" fillId="17" borderId="6" xfId="0" applyFont="1" applyFill="1" applyBorder="1" applyAlignment="1">
      <alignment horizontal="center" vertical="center" wrapText="1"/>
    </xf>
    <xf numFmtId="177" fontId="21" fillId="17" borderId="6" xfId="0" applyNumberFormat="1" applyFont="1" applyFill="1" applyBorder="1" applyAlignment="1">
      <alignment horizontal="center" vertical="center" wrapText="1"/>
    </xf>
    <xf numFmtId="179" fontId="21" fillId="17" borderId="6" xfId="0" applyNumberFormat="1" applyFont="1" applyFill="1" applyBorder="1" applyAlignment="1">
      <alignment horizontal="center" vertical="center" wrapText="1"/>
    </xf>
    <xf numFmtId="9" fontId="21" fillId="17" borderId="6" xfId="0" applyNumberFormat="1" applyFont="1" applyFill="1" applyBorder="1" applyAlignment="1">
      <alignment horizontal="center" vertical="center" wrapText="1"/>
    </xf>
    <xf numFmtId="0" fontId="21" fillId="17" borderId="0" xfId="0" applyFont="1" applyFill="1" applyAlignment="1">
      <alignment horizontal="center" vertical="center"/>
    </xf>
    <xf numFmtId="176" fontId="21" fillId="17" borderId="0" xfId="0" applyNumberFormat="1" applyFont="1" applyFill="1" applyAlignment="1">
      <alignment horizontal="center" vertical="center"/>
    </xf>
    <xf numFmtId="3" fontId="21" fillId="17" borderId="0" xfId="0" applyNumberFormat="1" applyFont="1" applyFill="1" applyAlignment="1">
      <alignment horizontal="center" vertical="center"/>
    </xf>
    <xf numFmtId="49" fontId="31" fillId="18" borderId="2" xfId="0" applyNumberFormat="1" applyFont="1" applyFill="1" applyBorder="1" applyAlignment="1">
      <alignment horizontal="center" vertical="center" wrapText="1"/>
    </xf>
    <xf numFmtId="0" fontId="31" fillId="18" borderId="2" xfId="0" applyFont="1" applyFill="1" applyBorder="1" applyAlignment="1">
      <alignment vertical="center" wrapText="1"/>
    </xf>
    <xf numFmtId="0" fontId="31" fillId="18" borderId="2" xfId="0" applyFont="1" applyFill="1" applyBorder="1" applyAlignment="1">
      <alignment horizontal="center" vertical="center" wrapText="1"/>
    </xf>
    <xf numFmtId="177" fontId="31" fillId="18" borderId="2" xfId="0" applyNumberFormat="1" applyFont="1" applyFill="1" applyBorder="1" applyAlignment="1">
      <alignment horizontal="center" vertical="center" wrapText="1"/>
    </xf>
    <xf numFmtId="179" fontId="31" fillId="18" borderId="2" xfId="0" applyNumberFormat="1" applyFont="1" applyFill="1" applyBorder="1" applyAlignment="1">
      <alignment horizontal="center" vertical="center" wrapText="1"/>
    </xf>
    <xf numFmtId="9" fontId="31" fillId="18" borderId="2" xfId="0" applyNumberFormat="1" applyFont="1" applyFill="1" applyBorder="1" applyAlignment="1">
      <alignment horizontal="center" vertical="center" wrapText="1"/>
    </xf>
    <xf numFmtId="49" fontId="32" fillId="18" borderId="2" xfId="0" applyNumberFormat="1" applyFont="1" applyFill="1" applyBorder="1" applyAlignment="1">
      <alignment horizontal="center" vertical="center" wrapText="1"/>
    </xf>
    <xf numFmtId="0" fontId="32" fillId="18" borderId="2" xfId="0" applyFont="1" applyFill="1" applyBorder="1" applyAlignment="1">
      <alignment vertical="center" wrapText="1"/>
    </xf>
    <xf numFmtId="0" fontId="32" fillId="18" borderId="2" xfId="0" applyFont="1" applyFill="1" applyBorder="1" applyAlignment="1">
      <alignment horizontal="center" vertical="center" wrapText="1"/>
    </xf>
    <xf numFmtId="177" fontId="32" fillId="18" borderId="2" xfId="0" applyNumberFormat="1" applyFont="1" applyFill="1" applyBorder="1" applyAlignment="1">
      <alignment horizontal="center" vertical="center" wrapText="1"/>
    </xf>
    <xf numFmtId="179" fontId="32" fillId="18" borderId="2" xfId="0" applyNumberFormat="1" applyFont="1" applyFill="1" applyBorder="1" applyAlignment="1">
      <alignment horizontal="center" vertical="center" wrapText="1"/>
    </xf>
    <xf numFmtId="9" fontId="32" fillId="18" borderId="2" xfId="0" applyNumberFormat="1" applyFont="1" applyFill="1" applyBorder="1" applyAlignment="1">
      <alignment horizontal="center" vertical="center" wrapText="1"/>
    </xf>
    <xf numFmtId="49" fontId="32" fillId="18" borderId="2" xfId="0" applyNumberFormat="1" applyFont="1" applyFill="1" applyBorder="1" applyAlignment="1">
      <alignment horizontal="center" vertical="center"/>
    </xf>
    <xf numFmtId="177" fontId="32" fillId="18" borderId="2" xfId="0" applyNumberFormat="1" applyFont="1" applyFill="1" applyBorder="1" applyAlignment="1">
      <alignment horizontal="center" vertical="center"/>
    </xf>
    <xf numFmtId="179" fontId="32" fillId="18" borderId="2" xfId="0" applyNumberFormat="1" applyFont="1" applyFill="1" applyBorder="1" applyAlignment="1">
      <alignment horizontal="center" vertical="center"/>
    </xf>
    <xf numFmtId="9" fontId="32" fillId="18" borderId="2" xfId="0" applyNumberFormat="1" applyFont="1" applyFill="1" applyBorder="1" applyAlignment="1">
      <alignment horizontal="center" vertical="center"/>
    </xf>
    <xf numFmtId="49" fontId="34" fillId="18" borderId="2" xfId="0" applyNumberFormat="1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vertical="center" wrapText="1"/>
    </xf>
    <xf numFmtId="0" fontId="34" fillId="18" borderId="2" xfId="0" applyFont="1" applyFill="1" applyBorder="1" applyAlignment="1">
      <alignment horizontal="center" vertical="center" wrapText="1"/>
    </xf>
    <xf numFmtId="177" fontId="34" fillId="18" borderId="2" xfId="0" applyNumberFormat="1" applyFont="1" applyFill="1" applyBorder="1" applyAlignment="1">
      <alignment horizontal="center" vertical="center"/>
    </xf>
    <xf numFmtId="179" fontId="34" fillId="18" borderId="2" xfId="0" applyNumberFormat="1" applyFont="1" applyFill="1" applyBorder="1" applyAlignment="1">
      <alignment horizontal="center" vertical="center"/>
    </xf>
    <xf numFmtId="9" fontId="34" fillId="18" borderId="2" xfId="0" applyNumberFormat="1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177" fontId="0" fillId="17" borderId="0" xfId="0" applyNumberFormat="1" applyFill="1" applyAlignment="1">
      <alignment horizontal="center" vertical="center"/>
    </xf>
    <xf numFmtId="179" fontId="0" fillId="17" borderId="0" xfId="0" applyNumberFormat="1" applyFill="1" applyAlignment="1">
      <alignment horizontal="center" vertical="center"/>
    </xf>
    <xf numFmtId="9" fontId="0" fillId="17" borderId="0" xfId="0" applyNumberFormat="1" applyFill="1" applyAlignment="1">
      <alignment horizontal="center" vertical="center"/>
    </xf>
    <xf numFmtId="0" fontId="0" fillId="17" borderId="0" xfId="0" applyFill="1"/>
    <xf numFmtId="49" fontId="35" fillId="17" borderId="0" xfId="0" applyNumberFormat="1" applyFont="1" applyFill="1" applyAlignment="1">
      <alignment horizontal="center" vertical="center"/>
    </xf>
    <xf numFmtId="0" fontId="35" fillId="17" borderId="0" xfId="0" applyFont="1" applyFill="1" applyAlignment="1">
      <alignment vertical="center" wrapText="1"/>
    </xf>
    <xf numFmtId="0" fontId="24" fillId="20" borderId="10" xfId="0" applyFont="1" applyFill="1" applyBorder="1" applyAlignment="1">
      <alignment horizontal="center" vertical="center"/>
    </xf>
    <xf numFmtId="0" fontId="38" fillId="16" borderId="13" xfId="0" applyFont="1" applyFill="1" applyBorder="1" applyAlignment="1">
      <alignment horizontal="center" vertical="center" wrapText="1"/>
    </xf>
    <xf numFmtId="9" fontId="24" fillId="12" borderId="18" xfId="0" applyNumberFormat="1" applyFont="1" applyFill="1" applyBorder="1" applyAlignment="1">
      <alignment horizontal="center" vertical="center"/>
    </xf>
    <xf numFmtId="176" fontId="24" fillId="12" borderId="18" xfId="0" applyNumberFormat="1" applyFont="1" applyFill="1" applyBorder="1" applyAlignment="1">
      <alignment horizontal="center" vertical="center"/>
    </xf>
    <xf numFmtId="0" fontId="24" fillId="12" borderId="18" xfId="0" applyFont="1" applyFill="1" applyBorder="1" applyAlignment="1">
      <alignment horizontal="center" vertical="center"/>
    </xf>
    <xf numFmtId="0" fontId="24" fillId="13" borderId="18" xfId="0" applyFont="1" applyFill="1" applyBorder="1" applyAlignment="1">
      <alignment horizontal="center" vertical="center"/>
    </xf>
    <xf numFmtId="0" fontId="24" fillId="16" borderId="18" xfId="0" applyFont="1" applyFill="1" applyBorder="1" applyAlignment="1">
      <alignment horizontal="center" vertical="center"/>
    </xf>
    <xf numFmtId="0" fontId="24" fillId="14" borderId="18" xfId="0" applyFont="1" applyFill="1" applyBorder="1" applyAlignment="1">
      <alignment horizontal="center" vertical="center"/>
    </xf>
    <xf numFmtId="0" fontId="24" fillId="15" borderId="18" xfId="0" applyFont="1" applyFill="1" applyBorder="1" applyAlignment="1">
      <alignment horizontal="center" vertical="center"/>
    </xf>
    <xf numFmtId="0" fontId="8" fillId="14" borderId="18" xfId="0" applyFont="1" applyFill="1" applyBorder="1"/>
    <xf numFmtId="0" fontId="21" fillId="12" borderId="18" xfId="0" applyFont="1" applyFill="1" applyBorder="1" applyAlignment="1">
      <alignment horizontal="center" vertical="center"/>
    </xf>
    <xf numFmtId="176" fontId="21" fillId="12" borderId="18" xfId="0" applyNumberFormat="1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0" fontId="21" fillId="13" borderId="18" xfId="0" applyFont="1" applyFill="1" applyBorder="1" applyAlignment="1">
      <alignment horizontal="center" vertical="center"/>
    </xf>
    <xf numFmtId="0" fontId="21" fillId="16" borderId="18" xfId="0" applyFont="1" applyFill="1" applyBorder="1" applyAlignment="1">
      <alignment horizontal="center" vertical="center"/>
    </xf>
    <xf numFmtId="0" fontId="21" fillId="14" borderId="18" xfId="0" applyFont="1" applyFill="1" applyBorder="1" applyAlignment="1">
      <alignment horizontal="center" vertical="center"/>
    </xf>
    <xf numFmtId="0" fontId="21" fillId="15" borderId="18" xfId="0" applyFont="1" applyFill="1" applyBorder="1" applyAlignment="1">
      <alignment horizontal="center" vertical="center"/>
    </xf>
    <xf numFmtId="49" fontId="32" fillId="18" borderId="0" xfId="0" applyNumberFormat="1" applyFont="1" applyFill="1" applyAlignment="1">
      <alignment horizontal="center" vertical="center" wrapText="1"/>
    </xf>
    <xf numFmtId="0" fontId="32" fillId="18" borderId="0" xfId="0" applyFont="1" applyFill="1" applyAlignment="1">
      <alignment vertical="center" wrapText="1"/>
    </xf>
    <xf numFmtId="0" fontId="32" fillId="18" borderId="0" xfId="0" applyFont="1" applyFill="1" applyAlignment="1">
      <alignment horizontal="center" vertical="center" wrapText="1"/>
    </xf>
    <xf numFmtId="177" fontId="32" fillId="18" borderId="0" xfId="0" applyNumberFormat="1" applyFont="1" applyFill="1" applyAlignment="1">
      <alignment horizontal="center" vertical="center" wrapText="1"/>
    </xf>
    <xf numFmtId="179" fontId="32" fillId="18" borderId="0" xfId="0" applyNumberFormat="1" applyFont="1" applyFill="1" applyAlignment="1">
      <alignment horizontal="center" vertical="center" wrapText="1"/>
    </xf>
    <xf numFmtId="9" fontId="32" fillId="18" borderId="0" xfId="0" applyNumberFormat="1" applyFont="1" applyFill="1" applyAlignment="1">
      <alignment horizontal="center" vertical="center" wrapText="1"/>
    </xf>
    <xf numFmtId="0" fontId="21" fillId="12" borderId="19" xfId="0" applyFont="1" applyFill="1" applyBorder="1" applyAlignment="1">
      <alignment horizontal="center" vertical="center"/>
    </xf>
    <xf numFmtId="176" fontId="21" fillId="12" borderId="19" xfId="0" applyNumberFormat="1" applyFont="1" applyFill="1" applyBorder="1" applyAlignment="1">
      <alignment horizontal="center" vertical="center"/>
    </xf>
    <xf numFmtId="3" fontId="21" fillId="12" borderId="19" xfId="0" applyNumberFormat="1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vertical="center"/>
    </xf>
    <xf numFmtId="0" fontId="21" fillId="16" borderId="19" xfId="0" applyFont="1" applyFill="1" applyBorder="1" applyAlignment="1">
      <alignment horizontal="center" vertical="center"/>
    </xf>
    <xf numFmtId="0" fontId="21" fillId="14" borderId="19" xfId="0" applyFont="1" applyFill="1" applyBorder="1" applyAlignment="1">
      <alignment horizontal="center" vertical="center"/>
    </xf>
    <xf numFmtId="0" fontId="21" fillId="15" borderId="19" xfId="0" applyFont="1" applyFill="1" applyBorder="1" applyAlignment="1">
      <alignment horizontal="center" vertical="center"/>
    </xf>
    <xf numFmtId="49" fontId="33" fillId="17" borderId="0" xfId="0" applyNumberFormat="1" applyFont="1" applyFill="1" applyAlignment="1">
      <alignment horizontal="center" vertical="center" wrapText="1"/>
    </xf>
    <xf numFmtId="0" fontId="33" fillId="17" borderId="0" xfId="0" applyFont="1" applyFill="1" applyAlignment="1">
      <alignment vertical="center" wrapText="1"/>
    </xf>
    <xf numFmtId="0" fontId="23" fillId="17" borderId="0" xfId="0" applyFont="1" applyFill="1" applyAlignment="1">
      <alignment horizontal="center" vertical="center" wrapText="1"/>
    </xf>
    <xf numFmtId="177" fontId="23" fillId="17" borderId="0" xfId="0" applyNumberFormat="1" applyFont="1" applyFill="1" applyAlignment="1">
      <alignment horizontal="center" vertical="center" wrapText="1"/>
    </xf>
    <xf numFmtId="179" fontId="23" fillId="17" borderId="0" xfId="0" applyNumberFormat="1" applyFont="1" applyFill="1" applyAlignment="1">
      <alignment horizontal="center" vertical="center" wrapText="1"/>
    </xf>
    <xf numFmtId="9" fontId="23" fillId="17" borderId="0" xfId="0" applyNumberFormat="1" applyFont="1" applyFill="1" applyAlignment="1">
      <alignment horizontal="center" vertical="center" wrapText="1"/>
    </xf>
    <xf numFmtId="9" fontId="24" fillId="17" borderId="0" xfId="0" applyNumberFormat="1" applyFont="1" applyFill="1" applyAlignment="1">
      <alignment horizontal="center" vertical="center"/>
    </xf>
    <xf numFmtId="176" fontId="24" fillId="17" borderId="0" xfId="0" applyNumberFormat="1" applyFont="1" applyFill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15" fillId="12" borderId="18" xfId="0" applyFont="1" applyFill="1" applyBorder="1" applyAlignment="1">
      <alignment vertical="center"/>
    </xf>
    <xf numFmtId="0" fontId="15" fillId="13" borderId="18" xfId="0" applyFont="1" applyFill="1" applyBorder="1" applyAlignment="1">
      <alignment vertical="center"/>
    </xf>
    <xf numFmtId="0" fontId="15" fillId="16" borderId="18" xfId="0" applyFont="1" applyFill="1" applyBorder="1" applyAlignment="1">
      <alignment vertical="center"/>
    </xf>
    <xf numFmtId="0" fontId="15" fillId="14" borderId="18" xfId="0" applyFont="1" applyFill="1" applyBorder="1" applyAlignment="1">
      <alignment vertical="center"/>
    </xf>
    <xf numFmtId="0" fontId="15" fillId="15" borderId="18" xfId="0" applyFont="1" applyFill="1" applyBorder="1" applyAlignment="1">
      <alignment vertical="center"/>
    </xf>
    <xf numFmtId="0" fontId="0" fillId="12" borderId="18" xfId="0" applyFill="1" applyBorder="1"/>
    <xf numFmtId="0" fontId="0" fillId="13" borderId="18" xfId="0" applyFill="1" applyBorder="1"/>
    <xf numFmtId="0" fontId="0" fillId="16" borderId="18" xfId="0" applyFill="1" applyBorder="1"/>
    <xf numFmtId="0" fontId="0" fillId="14" borderId="18" xfId="0" applyFill="1" applyBorder="1"/>
    <xf numFmtId="0" fontId="0" fillId="15" borderId="18" xfId="0" applyFill="1" applyBorder="1"/>
    <xf numFmtId="178" fontId="15" fillId="0" borderId="24" xfId="0" applyNumberFormat="1" applyFont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9" fillId="8" borderId="27" xfId="0" applyFont="1" applyFill="1" applyBorder="1" applyAlignment="1">
      <alignment horizontal="center" vertical="center"/>
    </xf>
    <xf numFmtId="0" fontId="42" fillId="0" borderId="28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left" vertical="center" wrapText="1"/>
    </xf>
    <xf numFmtId="0" fontId="7" fillId="2" borderId="26" xfId="0" applyFont="1" applyFill="1" applyBorder="1" applyAlignment="1">
      <alignment vertical="center"/>
    </xf>
    <xf numFmtId="0" fontId="8" fillId="0" borderId="26" xfId="0" applyFont="1" applyBorder="1"/>
    <xf numFmtId="0" fontId="10" fillId="2" borderId="26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13" fillId="0" borderId="18" xfId="0" applyFont="1" applyBorder="1" applyAlignment="1">
      <alignment horizontal="left" vertical="center"/>
    </xf>
    <xf numFmtId="0" fontId="27" fillId="2" borderId="18" xfId="0" applyFont="1" applyFill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0" borderId="21" xfId="0" applyFont="1" applyBorder="1" applyAlignment="1">
      <alignment horizontal="left" vertical="center"/>
    </xf>
    <xf numFmtId="0" fontId="28" fillId="0" borderId="22" xfId="0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6" fillId="19" borderId="14" xfId="0" applyFont="1" applyFill="1" applyBorder="1" applyAlignment="1">
      <alignment horizontal="left" vertical="center" wrapText="1"/>
    </xf>
    <xf numFmtId="0" fontId="36" fillId="19" borderId="15" xfId="0" applyFont="1" applyFill="1" applyBorder="1" applyAlignment="1">
      <alignment horizontal="left" vertical="center" wrapText="1"/>
    </xf>
    <xf numFmtId="0" fontId="36" fillId="19" borderId="16" xfId="0" applyFont="1" applyFill="1" applyBorder="1" applyAlignment="1">
      <alignment horizontal="left" vertical="center" wrapText="1"/>
    </xf>
    <xf numFmtId="0" fontId="18" fillId="7" borderId="3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29" fillId="8" borderId="13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0" fontId="29" fillId="9" borderId="13" xfId="0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0" fontId="29" fillId="10" borderId="13" xfId="0" applyFont="1" applyFill="1" applyBorder="1" applyAlignment="1">
      <alignment horizontal="center" vertical="center"/>
    </xf>
    <xf numFmtId="0" fontId="18" fillId="11" borderId="13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0" fillId="0" borderId="0" xfId="0"/>
    <xf numFmtId="177" fontId="14" fillId="0" borderId="23" xfId="0" applyNumberFormat="1" applyFont="1" applyBorder="1" applyAlignment="1">
      <alignment horizontal="left" vertical="center"/>
    </xf>
    <xf numFmtId="177" fontId="14" fillId="0" borderId="0" xfId="0" applyNumberFormat="1" applyFont="1" applyAlignment="1">
      <alignment horizontal="left" vertical="center"/>
    </xf>
    <xf numFmtId="0" fontId="29" fillId="4" borderId="14" xfId="0" applyFont="1" applyFill="1" applyBorder="1" applyAlignment="1">
      <alignment horizontal="left" vertical="center" wrapText="1"/>
    </xf>
    <xf numFmtId="0" fontId="29" fillId="4" borderId="15" xfId="0" applyFont="1" applyFill="1" applyBorder="1" applyAlignment="1">
      <alignment horizontal="left" vertical="center" wrapText="1"/>
    </xf>
    <xf numFmtId="0" fontId="29" fillId="4" borderId="16" xfId="0" applyFont="1" applyFill="1" applyBorder="1" applyAlignment="1">
      <alignment horizontal="left" vertical="center" wrapText="1"/>
    </xf>
    <xf numFmtId="0" fontId="40" fillId="19" borderId="14" xfId="0" applyFont="1" applyFill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/>
    </xf>
    <xf numFmtId="0" fontId="18" fillId="4" borderId="3" xfId="0" applyFont="1" applyFill="1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/>
    </xf>
    <xf numFmtId="0" fontId="29" fillId="4" borderId="5" xfId="0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horizontal="center" vertical="center"/>
    </xf>
    <xf numFmtId="0" fontId="29" fillId="5" borderId="5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45" fillId="21" borderId="0" xfId="0" applyFont="1" applyFill="1" applyAlignment="1">
      <alignment horizontal="center" vertical="center"/>
    </xf>
    <xf numFmtId="0" fontId="43" fillId="21" borderId="0" xfId="0" applyFont="1" applyFill="1" applyAlignment="1">
      <alignment horizontal="center" vertical="center"/>
    </xf>
    <xf numFmtId="0" fontId="41" fillId="22" borderId="0" xfId="0" applyFont="1" applyFill="1" applyAlignment="1">
      <alignment horizontal="left" vertical="center"/>
    </xf>
    <xf numFmtId="0" fontId="47" fillId="2" borderId="18" xfId="0" applyFont="1" applyFill="1" applyBorder="1" applyAlignment="1">
      <alignment horizontal="left" vertical="center"/>
    </xf>
  </cellXfs>
  <cellStyles count="2">
    <cellStyle name="스타일 1" xfId="1" xr:uid="{C976CF34-88DB-B446-8AD2-3863C1ACDB63}"/>
    <cellStyle name="표준" xfId="0" builtinId="0"/>
  </cellStyles>
  <dxfs count="7">
    <dxf>
      <fill>
        <patternFill patternType="solid">
          <bgColor rgb="FF8064A2"/>
        </patternFill>
      </fill>
    </dxf>
    <dxf>
      <fill>
        <patternFill patternType="solid">
          <bgColor rgb="FFC9A227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4F8993"/>
        </patternFill>
      </fill>
    </dxf>
    <dxf>
      <fill>
        <patternFill patternType="solid">
          <bgColor rgb="FF5B9BD5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145A32"/>
      </font>
      <fill>
        <patternFill patternType="solid">
          <bgColor rgb="FF57BB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83093-67AA-FF48-B848-3B4123018A0F}" name="TraceabilityTable" displayName="TraceabilityTable" ref="A4:G39" totalsRowShown="0">
  <tableColumns count="7">
    <tableColumn id="1" xr3:uid="{C6AA7FAB-5340-964B-9C11-FC040F0572E0}" name="요구사항 ID"/>
    <tableColumn id="2" xr3:uid="{1D40E3A9-0918-A047-9D6E-B20E6CBAF526}" name="요구사항명"/>
    <tableColumn id="3" xr3:uid="{1FA86B8E-EF9D-7B42-93AC-DA44D69F7DE0}" name="WBS 연결"/>
    <tableColumn id="4" xr3:uid="{91D9FF19-E9FB-1449-9081-0F6D227A59A6}" name="인수조건 ID"/>
    <tableColumn id="5" xr3:uid="{2A2F0232-58E0-B24F-9284-F0AD1DA3A358}" name="테스트 ID"/>
    <tableColumn id="6" xr3:uid="{E1A907B6-22BE-9E4C-A30E-2FC4645171A2}" name="상태"/>
    <tableColumn id="7" xr3:uid="{59B7AB53-831C-224D-9C20-5419CA8651FE}" name="검증 기준 요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</sheetPr>
  <dimension ref="A1:BQ73"/>
  <sheetViews>
    <sheetView tabSelected="1" view="pageBreakPreview" topLeftCell="B1" zoomScale="60" zoomScaleNormal="100" workbookViewId="0">
      <selection activeCell="D4" sqref="D4:G4"/>
    </sheetView>
  </sheetViews>
  <sheetFormatPr baseColWidth="10" defaultColWidth="12.6640625" defaultRowHeight="13"/>
  <cols>
    <col min="1" max="1" width="4.1640625" customWidth="1"/>
    <col min="2" max="2" width="10" customWidth="1"/>
    <col min="3" max="3" width="34" customWidth="1"/>
    <col min="4" max="4" width="20" customWidth="1"/>
    <col min="5" max="6" width="12" customWidth="1"/>
    <col min="7" max="7" width="8" customWidth="1"/>
    <col min="8" max="8" width="11" customWidth="1"/>
    <col min="9" max="43" width="3.1640625" customWidth="1"/>
    <col min="44" max="68" width="3" customWidth="1"/>
    <col min="69" max="69" width="3.33203125" customWidth="1"/>
  </cols>
  <sheetData>
    <row r="1" spans="1:69" ht="36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7"/>
      <c r="AE1" s="137"/>
      <c r="AF1" s="137"/>
      <c r="AG1" s="137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41" customHeight="1" thickBot="1">
      <c r="A2" s="1"/>
      <c r="B2" s="141" t="s">
        <v>0</v>
      </c>
      <c r="C2" s="142"/>
      <c r="D2" s="142"/>
      <c r="E2" s="142"/>
      <c r="F2" s="142"/>
      <c r="G2" s="142"/>
      <c r="H2" s="135"/>
      <c r="I2" s="143"/>
      <c r="J2" s="142"/>
      <c r="K2" s="142"/>
      <c r="L2" s="142"/>
      <c r="M2" s="142"/>
      <c r="N2" s="142"/>
      <c r="O2" s="144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0"/>
      <c r="AI2" s="10"/>
      <c r="AJ2" s="10"/>
      <c r="AK2" s="10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s="153" customFormat="1" ht="21" customHeight="1" thickTop="1"/>
    <row r="4" spans="1:69" ht="21" customHeight="1">
      <c r="A4" s="1"/>
      <c r="B4" s="146" t="s">
        <v>1</v>
      </c>
      <c r="C4" s="146"/>
      <c r="D4" s="192" t="s">
        <v>413</v>
      </c>
      <c r="E4" s="147"/>
      <c r="F4" s="147"/>
      <c r="G4" s="147"/>
      <c r="H4" s="148" t="s">
        <v>2</v>
      </c>
      <c r="I4" s="149"/>
      <c r="J4" s="149"/>
      <c r="K4" s="149"/>
      <c r="L4" s="149"/>
      <c r="M4" s="149"/>
      <c r="N4" s="149"/>
      <c r="O4" s="150"/>
      <c r="P4" s="151" t="s">
        <v>12</v>
      </c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1" customHeight="1">
      <c r="A5" s="1"/>
      <c r="B5" s="146" t="s">
        <v>3</v>
      </c>
      <c r="C5" s="146"/>
      <c r="D5" s="176" t="s">
        <v>13</v>
      </c>
      <c r="E5" s="176"/>
      <c r="F5" s="176"/>
      <c r="G5" s="176"/>
      <c r="H5" s="186" t="s">
        <v>4</v>
      </c>
      <c r="I5" s="187"/>
      <c r="J5" s="187"/>
      <c r="K5" s="187"/>
      <c r="L5" s="187"/>
      <c r="M5" s="187"/>
      <c r="N5" s="187"/>
      <c r="O5" s="188"/>
      <c r="P5" s="170">
        <v>46244.125</v>
      </c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"/>
      <c r="AI5" s="1"/>
      <c r="AJ5" s="1"/>
      <c r="AK5" s="1"/>
      <c r="AL5" s="1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21" customHeight="1">
      <c r="A6" s="12"/>
      <c r="B6" s="13"/>
      <c r="C6" s="13"/>
      <c r="D6" s="13"/>
      <c r="E6" s="13"/>
      <c r="F6" s="13"/>
      <c r="G6" s="14"/>
      <c r="H6" s="14"/>
      <c r="I6" s="13"/>
      <c r="J6" s="13"/>
      <c r="K6" s="13"/>
      <c r="L6" s="13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</row>
    <row r="7" spans="1:69" ht="21" customHeight="1">
      <c r="A7" s="12"/>
      <c r="B7" s="13"/>
      <c r="C7" s="13"/>
      <c r="D7" s="13"/>
      <c r="E7" s="13"/>
      <c r="F7" s="13"/>
      <c r="G7" s="14"/>
      <c r="H7" s="21">
        <v>46251.125</v>
      </c>
      <c r="I7" s="19">
        <v>46237.125</v>
      </c>
      <c r="J7" s="19">
        <v>46238.125</v>
      </c>
      <c r="K7" s="19">
        <v>46239.125</v>
      </c>
      <c r="L7" s="19">
        <v>46240.125</v>
      </c>
      <c r="M7" s="134">
        <v>46241.125</v>
      </c>
      <c r="N7" s="20">
        <v>46244.125</v>
      </c>
      <c r="O7" s="20">
        <v>46245.125</v>
      </c>
      <c r="P7" s="20">
        <v>46246.125</v>
      </c>
      <c r="Q7" s="20">
        <v>46247.125</v>
      </c>
      <c r="R7" s="20">
        <v>46248.125</v>
      </c>
      <c r="S7" s="20">
        <v>46251.125</v>
      </c>
      <c r="T7" s="20">
        <v>46252.125</v>
      </c>
      <c r="U7" s="20">
        <v>46253.125</v>
      </c>
      <c r="V7" s="20">
        <v>46254.125</v>
      </c>
      <c r="W7" s="20">
        <v>46255.125</v>
      </c>
      <c r="X7" s="20">
        <v>46258.125</v>
      </c>
      <c r="Y7" s="20">
        <v>46259.125</v>
      </c>
      <c r="Z7" s="20">
        <v>46260.125</v>
      </c>
      <c r="AA7" s="20">
        <v>46261.125</v>
      </c>
      <c r="AB7" s="20">
        <v>46262.125</v>
      </c>
      <c r="AC7" s="20">
        <v>46265.125</v>
      </c>
      <c r="AD7" s="20">
        <v>46266.125</v>
      </c>
      <c r="AE7" s="20">
        <v>46267.125</v>
      </c>
      <c r="AF7" s="20">
        <v>46268.125</v>
      </c>
      <c r="AG7" s="20">
        <v>46269.125</v>
      </c>
      <c r="AH7" s="20">
        <v>46272.125</v>
      </c>
      <c r="AI7" s="20">
        <v>46273.125</v>
      </c>
      <c r="AJ7" s="20">
        <v>46274.125</v>
      </c>
      <c r="AK7" s="20">
        <v>46275.125</v>
      </c>
      <c r="AL7" s="20">
        <v>46276.125</v>
      </c>
      <c r="AM7" s="20">
        <v>46279.125</v>
      </c>
      <c r="AN7" s="20">
        <v>46280.125</v>
      </c>
      <c r="AO7" s="20">
        <v>46281.125</v>
      </c>
      <c r="AP7" s="20">
        <v>46282.125</v>
      </c>
      <c r="AQ7" s="20">
        <v>46283.125</v>
      </c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</row>
    <row r="8" spans="1:69" ht="22" customHeight="1">
      <c r="A8" s="15"/>
      <c r="B8" s="168" t="s">
        <v>5</v>
      </c>
      <c r="C8" s="168" t="s">
        <v>6</v>
      </c>
      <c r="D8" s="168" t="s">
        <v>7</v>
      </c>
      <c r="E8" s="168" t="s">
        <v>8</v>
      </c>
      <c r="F8" s="168" t="s">
        <v>9</v>
      </c>
      <c r="G8" s="168" t="s">
        <v>10</v>
      </c>
      <c r="H8" s="168" t="s">
        <v>11</v>
      </c>
      <c r="I8" s="177" t="s">
        <v>14</v>
      </c>
      <c r="J8" s="178" t="s">
        <v>14</v>
      </c>
      <c r="K8" s="178" t="s">
        <v>14</v>
      </c>
      <c r="L8" s="178" t="s">
        <v>14</v>
      </c>
      <c r="M8" s="179" t="s">
        <v>14</v>
      </c>
      <c r="N8" s="180" t="s">
        <v>15</v>
      </c>
      <c r="O8" s="181" t="s">
        <v>15</v>
      </c>
      <c r="P8" s="181" t="s">
        <v>15</v>
      </c>
      <c r="Q8" s="181" t="s">
        <v>15</v>
      </c>
      <c r="R8" s="181" t="s">
        <v>15</v>
      </c>
      <c r="S8" s="181" t="s">
        <v>15</v>
      </c>
      <c r="T8" s="181" t="s">
        <v>15</v>
      </c>
      <c r="U8" s="181" t="s">
        <v>15</v>
      </c>
      <c r="V8" s="181" t="s">
        <v>15</v>
      </c>
      <c r="W8" s="182" t="s">
        <v>15</v>
      </c>
      <c r="X8" s="183" t="s">
        <v>16</v>
      </c>
      <c r="Y8" s="184" t="s">
        <v>16</v>
      </c>
      <c r="Z8" s="184" t="s">
        <v>16</v>
      </c>
      <c r="AA8" s="184" t="s">
        <v>16</v>
      </c>
      <c r="AB8" s="184" t="s">
        <v>16</v>
      </c>
      <c r="AC8" s="184" t="s">
        <v>16</v>
      </c>
      <c r="AD8" s="184" t="s">
        <v>16</v>
      </c>
      <c r="AE8" s="184" t="s">
        <v>16</v>
      </c>
      <c r="AF8" s="184" t="s">
        <v>16</v>
      </c>
      <c r="AG8" s="184" t="s">
        <v>16</v>
      </c>
      <c r="AH8" s="184" t="s">
        <v>16</v>
      </c>
      <c r="AI8" s="184" t="s">
        <v>16</v>
      </c>
      <c r="AJ8" s="184" t="s">
        <v>16</v>
      </c>
      <c r="AK8" s="184" t="s">
        <v>16</v>
      </c>
      <c r="AL8" s="185" t="s">
        <v>16</v>
      </c>
      <c r="AM8" s="157" t="s">
        <v>17</v>
      </c>
      <c r="AN8" s="158" t="s">
        <v>17</v>
      </c>
      <c r="AO8" s="158" t="s">
        <v>17</v>
      </c>
      <c r="AP8" s="158" t="s">
        <v>17</v>
      </c>
      <c r="AQ8" s="159" t="s">
        <v>17</v>
      </c>
      <c r="AR8" s="12"/>
    </row>
    <row r="9" spans="1:69" ht="21" customHeight="1">
      <c r="A9" s="16"/>
      <c r="B9" s="169"/>
      <c r="C9" s="169"/>
      <c r="D9" s="169"/>
      <c r="E9" s="169"/>
      <c r="F9" s="169"/>
      <c r="G9" s="169"/>
      <c r="H9" s="169"/>
      <c r="I9" s="160" t="s">
        <v>18</v>
      </c>
      <c r="J9" s="161" t="s">
        <v>18</v>
      </c>
      <c r="K9" s="161" t="s">
        <v>18</v>
      </c>
      <c r="L9" s="161" t="s">
        <v>18</v>
      </c>
      <c r="M9" s="161" t="s">
        <v>18</v>
      </c>
      <c r="N9" s="162" t="s">
        <v>19</v>
      </c>
      <c r="O9" s="163" t="s">
        <v>19</v>
      </c>
      <c r="P9" s="163" t="s">
        <v>19</v>
      </c>
      <c r="Q9" s="163" t="s">
        <v>19</v>
      </c>
      <c r="R9" s="163" t="s">
        <v>19</v>
      </c>
      <c r="S9" s="162" t="s">
        <v>20</v>
      </c>
      <c r="T9" s="163" t="s">
        <v>20</v>
      </c>
      <c r="U9" s="163" t="s">
        <v>20</v>
      </c>
      <c r="V9" s="163" t="s">
        <v>20</v>
      </c>
      <c r="W9" s="163" t="s">
        <v>20</v>
      </c>
      <c r="X9" s="164" t="s">
        <v>21</v>
      </c>
      <c r="Y9" s="165" t="s">
        <v>21</v>
      </c>
      <c r="Z9" s="165" t="s">
        <v>21</v>
      </c>
      <c r="AA9" s="165" t="s">
        <v>21</v>
      </c>
      <c r="AB9" s="165" t="s">
        <v>21</v>
      </c>
      <c r="AC9" s="164" t="s">
        <v>22</v>
      </c>
      <c r="AD9" s="165" t="s">
        <v>22</v>
      </c>
      <c r="AE9" s="165" t="s">
        <v>22</v>
      </c>
      <c r="AF9" s="165" t="s">
        <v>22</v>
      </c>
      <c r="AG9" s="165" t="s">
        <v>22</v>
      </c>
      <c r="AH9" s="164" t="s">
        <v>23</v>
      </c>
      <c r="AI9" s="165" t="s">
        <v>23</v>
      </c>
      <c r="AJ9" s="165" t="s">
        <v>23</v>
      </c>
      <c r="AK9" s="165" t="s">
        <v>23</v>
      </c>
      <c r="AL9" s="165" t="s">
        <v>23</v>
      </c>
      <c r="AM9" s="166" t="s">
        <v>24</v>
      </c>
      <c r="AN9" s="167" t="s">
        <v>24</v>
      </c>
      <c r="AO9" s="167" t="s">
        <v>24</v>
      </c>
      <c r="AP9" s="167" t="s">
        <v>24</v>
      </c>
      <c r="AQ9" s="167" t="s">
        <v>24</v>
      </c>
      <c r="AR9" s="16"/>
    </row>
    <row r="10" spans="1:69" ht="28" customHeight="1">
      <c r="A10" s="17"/>
      <c r="B10" s="169"/>
      <c r="C10" s="169"/>
      <c r="D10" s="169"/>
      <c r="E10" s="169"/>
      <c r="F10" s="169"/>
      <c r="G10" s="169"/>
      <c r="H10" s="169"/>
      <c r="I10" s="22" t="s">
        <v>25</v>
      </c>
      <c r="J10" s="22" t="s">
        <v>26</v>
      </c>
      <c r="K10" s="22" t="s">
        <v>27</v>
      </c>
      <c r="L10" s="22" t="s">
        <v>28</v>
      </c>
      <c r="M10" s="22" t="s">
        <v>29</v>
      </c>
      <c r="N10" s="32" t="s">
        <v>30</v>
      </c>
      <c r="O10" s="32" t="s">
        <v>31</v>
      </c>
      <c r="P10" s="32" t="s">
        <v>32</v>
      </c>
      <c r="Q10" s="32" t="s">
        <v>33</v>
      </c>
      <c r="R10" s="32" t="s">
        <v>34</v>
      </c>
      <c r="S10" s="86" t="s">
        <v>194</v>
      </c>
      <c r="T10" s="32" t="s">
        <v>35</v>
      </c>
      <c r="U10" s="32" t="s">
        <v>36</v>
      </c>
      <c r="V10" s="32" t="s">
        <v>37</v>
      </c>
      <c r="W10" s="32" t="s">
        <v>38</v>
      </c>
      <c r="X10" s="36" t="s">
        <v>39</v>
      </c>
      <c r="Y10" s="36" t="s">
        <v>40</v>
      </c>
      <c r="Z10" s="36" t="s">
        <v>41</v>
      </c>
      <c r="AA10" s="36" t="s">
        <v>42</v>
      </c>
      <c r="AB10" s="36" t="s">
        <v>43</v>
      </c>
      <c r="AC10" s="36" t="s">
        <v>44</v>
      </c>
      <c r="AD10" s="36" t="s">
        <v>45</v>
      </c>
      <c r="AE10" s="36" t="s">
        <v>46</v>
      </c>
      <c r="AF10" s="36" t="s">
        <v>47</v>
      </c>
      <c r="AG10" s="36" t="s">
        <v>48</v>
      </c>
      <c r="AH10" s="36" t="s">
        <v>49</v>
      </c>
      <c r="AI10" s="36" t="s">
        <v>50</v>
      </c>
      <c r="AJ10" s="36" t="s">
        <v>51</v>
      </c>
      <c r="AK10" s="36" t="s">
        <v>52</v>
      </c>
      <c r="AL10" s="36" t="s">
        <v>53</v>
      </c>
      <c r="AM10" s="40" t="s">
        <v>54</v>
      </c>
      <c r="AN10" s="40" t="s">
        <v>55</v>
      </c>
      <c r="AO10" s="40" t="s">
        <v>56</v>
      </c>
      <c r="AP10" s="40" t="s">
        <v>57</v>
      </c>
      <c r="AQ10" s="40" t="s">
        <v>58</v>
      </c>
      <c r="AR10" s="17"/>
    </row>
    <row r="11" spans="1:69" ht="22" customHeight="1">
      <c r="A11" s="12"/>
      <c r="B11" s="47" t="s">
        <v>59</v>
      </c>
      <c r="C11" s="48" t="s">
        <v>60</v>
      </c>
      <c r="D11" s="49"/>
      <c r="E11" s="50"/>
      <c r="F11" s="50"/>
      <c r="G11" s="51"/>
      <c r="H11" s="52"/>
      <c r="I11" s="53"/>
      <c r="J11" s="54"/>
      <c r="K11" s="55"/>
      <c r="L11" s="55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12"/>
    </row>
    <row r="12" spans="1:69" ht="26" customHeight="1">
      <c r="A12" s="18"/>
      <c r="B12" s="56" t="s">
        <v>61</v>
      </c>
      <c r="C12" s="57" t="s">
        <v>62</v>
      </c>
      <c r="D12" s="58" t="s">
        <v>63</v>
      </c>
      <c r="E12" s="59">
        <v>46237.125</v>
      </c>
      <c r="F12" s="59">
        <v>46244.125</v>
      </c>
      <c r="G12" s="60">
        <f t="shared" ref="G12:G18" si="0">NETWORKDAYS(E12,F12,$H$7)</f>
        <v>6</v>
      </c>
      <c r="H12" s="61">
        <v>1</v>
      </c>
      <c r="I12" s="23"/>
      <c r="J12" s="24"/>
      <c r="K12" s="25"/>
      <c r="L12" s="25"/>
      <c r="M12" s="25"/>
      <c r="N12" s="33"/>
      <c r="O12" s="33"/>
      <c r="P12" s="33"/>
      <c r="Q12" s="33"/>
      <c r="R12" s="33"/>
      <c r="S12" s="44"/>
      <c r="T12" s="33"/>
      <c r="U12" s="33"/>
      <c r="V12" s="33"/>
      <c r="W12" s="33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41"/>
      <c r="AN12" s="41"/>
      <c r="AO12" s="41"/>
      <c r="AP12" s="41"/>
      <c r="AQ12" s="41"/>
      <c r="AR12" s="18"/>
    </row>
    <row r="13" spans="1:69" ht="26" customHeight="1">
      <c r="A13" s="18"/>
      <c r="B13" s="56" t="s">
        <v>64</v>
      </c>
      <c r="C13" s="57" t="s">
        <v>65</v>
      </c>
      <c r="D13" s="58" t="s">
        <v>66</v>
      </c>
      <c r="E13" s="59">
        <v>46238.125</v>
      </c>
      <c r="F13" s="59">
        <v>46244.125</v>
      </c>
      <c r="G13" s="60">
        <f t="shared" si="0"/>
        <v>5</v>
      </c>
      <c r="H13" s="61">
        <v>1</v>
      </c>
      <c r="I13" s="26"/>
      <c r="J13" s="27"/>
      <c r="K13" s="28"/>
      <c r="L13" s="28"/>
      <c r="M13" s="28"/>
      <c r="N13" s="34"/>
      <c r="O13" s="34"/>
      <c r="P13" s="34"/>
      <c r="Q13" s="34"/>
      <c r="R13" s="34"/>
      <c r="S13" s="45"/>
      <c r="T13" s="34"/>
      <c r="U13" s="34"/>
      <c r="V13" s="34"/>
      <c r="W13" s="34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42"/>
      <c r="AN13" s="42"/>
      <c r="AO13" s="42"/>
      <c r="AP13" s="42"/>
      <c r="AQ13" s="42"/>
      <c r="AR13" s="18"/>
    </row>
    <row r="14" spans="1:69" ht="26" customHeight="1">
      <c r="A14" s="18"/>
      <c r="B14" s="56" t="s">
        <v>67</v>
      </c>
      <c r="C14" s="57" t="s">
        <v>68</v>
      </c>
      <c r="D14" s="58" t="s">
        <v>63</v>
      </c>
      <c r="E14" s="59">
        <v>46237.125</v>
      </c>
      <c r="F14" s="59">
        <v>46244.125</v>
      </c>
      <c r="G14" s="60">
        <f t="shared" si="0"/>
        <v>6</v>
      </c>
      <c r="H14" s="61">
        <v>1</v>
      </c>
      <c r="I14" s="26"/>
      <c r="J14" s="27"/>
      <c r="K14" s="28"/>
      <c r="L14" s="28"/>
      <c r="M14" s="85"/>
      <c r="N14" s="85"/>
      <c r="O14" s="34"/>
      <c r="P14" s="34"/>
      <c r="Q14" s="34"/>
      <c r="R14" s="34"/>
      <c r="S14" s="45"/>
      <c r="T14" s="34"/>
      <c r="U14" s="34"/>
      <c r="V14" s="34"/>
      <c r="W14" s="34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42"/>
      <c r="AN14" s="42"/>
      <c r="AO14" s="42"/>
      <c r="AP14" s="42"/>
      <c r="AQ14" s="42"/>
      <c r="AR14" s="18"/>
    </row>
    <row r="15" spans="1:69" ht="26" customHeight="1">
      <c r="A15" s="18"/>
      <c r="B15" s="56" t="s">
        <v>69</v>
      </c>
      <c r="C15" s="57" t="s">
        <v>70</v>
      </c>
      <c r="D15" s="58" t="s">
        <v>71</v>
      </c>
      <c r="E15" s="59">
        <v>46240.125</v>
      </c>
      <c r="F15" s="59">
        <v>46241.125</v>
      </c>
      <c r="G15" s="60">
        <f t="shared" si="0"/>
        <v>2</v>
      </c>
      <c r="H15" s="61">
        <v>1</v>
      </c>
      <c r="I15" s="26"/>
      <c r="J15" s="27"/>
      <c r="K15" s="28"/>
      <c r="L15" s="28"/>
      <c r="M15" s="28"/>
      <c r="N15" s="85"/>
      <c r="O15" s="34"/>
      <c r="P15" s="34"/>
      <c r="Q15" s="34"/>
      <c r="R15" s="34"/>
      <c r="S15" s="45"/>
      <c r="T15" s="34"/>
      <c r="U15" s="34"/>
      <c r="V15" s="34"/>
      <c r="W15" s="34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42"/>
      <c r="AN15" s="42"/>
      <c r="AO15" s="42"/>
      <c r="AP15" s="42"/>
      <c r="AQ15" s="42"/>
      <c r="AR15" s="18"/>
    </row>
    <row r="16" spans="1:69" ht="26" customHeight="1">
      <c r="A16" s="18"/>
      <c r="B16" s="56" t="s">
        <v>72</v>
      </c>
      <c r="C16" s="57" t="s">
        <v>73</v>
      </c>
      <c r="D16" s="58" t="s">
        <v>63</v>
      </c>
      <c r="E16" s="59">
        <v>46241.125</v>
      </c>
      <c r="F16" s="59">
        <v>46244.125</v>
      </c>
      <c r="G16" s="60">
        <f t="shared" si="0"/>
        <v>2</v>
      </c>
      <c r="H16" s="61">
        <v>1</v>
      </c>
      <c r="I16" s="26"/>
      <c r="J16" s="27"/>
      <c r="K16" s="28"/>
      <c r="L16" s="28"/>
      <c r="M16" s="28"/>
      <c r="N16" s="85"/>
      <c r="O16" s="34"/>
      <c r="P16" s="34"/>
      <c r="Q16" s="34"/>
      <c r="R16" s="34"/>
      <c r="S16" s="45"/>
      <c r="T16" s="34"/>
      <c r="U16" s="34"/>
      <c r="V16" s="34"/>
      <c r="W16" s="34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42"/>
      <c r="AN16" s="42"/>
      <c r="AO16" s="42"/>
      <c r="AP16" s="42"/>
      <c r="AQ16" s="42"/>
      <c r="AR16" s="18"/>
    </row>
    <row r="17" spans="1:44" ht="26" customHeight="1">
      <c r="A17" s="18"/>
      <c r="B17" s="56" t="s">
        <v>74</v>
      </c>
      <c r="C17" s="57" t="s">
        <v>75</v>
      </c>
      <c r="D17" s="58" t="s">
        <v>71</v>
      </c>
      <c r="E17" s="59">
        <v>46244.125</v>
      </c>
      <c r="F17" s="59">
        <v>46251.125</v>
      </c>
      <c r="G17" s="60">
        <f t="shared" si="0"/>
        <v>5</v>
      </c>
      <c r="H17" s="61">
        <v>0.05</v>
      </c>
      <c r="I17" s="26"/>
      <c r="J17" s="27"/>
      <c r="K17" s="28"/>
      <c r="L17" s="28"/>
      <c r="M17" s="28"/>
      <c r="N17" s="34"/>
      <c r="O17" s="34"/>
      <c r="P17" s="34"/>
      <c r="Q17" s="34"/>
      <c r="R17" s="34"/>
      <c r="S17" s="45"/>
      <c r="T17" s="34"/>
      <c r="U17" s="34"/>
      <c r="V17" s="34"/>
      <c r="W17" s="34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42"/>
      <c r="AN17" s="42"/>
      <c r="AO17" s="42"/>
      <c r="AP17" s="42"/>
      <c r="AQ17" s="42"/>
      <c r="AR17" s="18"/>
    </row>
    <row r="18" spans="1:44" ht="26" customHeight="1">
      <c r="A18" s="18"/>
      <c r="B18" s="56" t="s">
        <v>76</v>
      </c>
      <c r="C18" s="57" t="s">
        <v>77</v>
      </c>
      <c r="D18" s="58" t="s">
        <v>71</v>
      </c>
      <c r="E18" s="59">
        <v>46252.125</v>
      </c>
      <c r="F18" s="59">
        <v>46252.125</v>
      </c>
      <c r="G18" s="60">
        <f t="shared" si="0"/>
        <v>1</v>
      </c>
      <c r="H18" s="61">
        <v>0</v>
      </c>
      <c r="I18" s="29"/>
      <c r="J18" s="30"/>
      <c r="K18" s="31"/>
      <c r="L18" s="31"/>
      <c r="M18" s="31"/>
      <c r="N18" s="35"/>
      <c r="O18" s="35"/>
      <c r="P18" s="35"/>
      <c r="Q18" s="35"/>
      <c r="R18" s="35"/>
      <c r="S18" s="46"/>
      <c r="T18" s="35"/>
      <c r="U18" s="35"/>
      <c r="V18" s="35"/>
      <c r="W18" s="35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43"/>
      <c r="AN18" s="43"/>
      <c r="AO18" s="43"/>
      <c r="AP18" s="43"/>
      <c r="AQ18" s="43"/>
      <c r="AR18" s="18"/>
    </row>
    <row r="19" spans="1:44" ht="22" customHeight="1">
      <c r="A19" s="12"/>
      <c r="B19" s="47" t="s">
        <v>78</v>
      </c>
      <c r="C19" s="48" t="s">
        <v>79</v>
      </c>
      <c r="D19" s="49"/>
      <c r="E19" s="50"/>
      <c r="F19" s="50"/>
      <c r="G19" s="51"/>
      <c r="H19" s="52"/>
      <c r="I19" s="53"/>
      <c r="J19" s="54"/>
      <c r="K19" s="55"/>
      <c r="L19" s="55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12"/>
    </row>
    <row r="20" spans="1:44" ht="26" customHeight="1">
      <c r="A20" s="18"/>
      <c r="B20" s="56" t="s">
        <v>80</v>
      </c>
      <c r="C20" s="57" t="s">
        <v>81</v>
      </c>
      <c r="D20" s="58" t="s">
        <v>82</v>
      </c>
      <c r="E20" s="59">
        <v>46244.125</v>
      </c>
      <c r="F20" s="59">
        <v>46245.125</v>
      </c>
      <c r="G20" s="60">
        <f t="shared" ref="G20:G31" si="1">NETWORKDAYS(E20,F20,$H$7)</f>
        <v>2</v>
      </c>
      <c r="H20" s="61">
        <v>0</v>
      </c>
      <c r="I20" s="87"/>
      <c r="J20" s="88"/>
      <c r="K20" s="89"/>
      <c r="L20" s="89"/>
      <c r="M20" s="89"/>
      <c r="N20" s="90"/>
      <c r="O20" s="90"/>
      <c r="P20" s="90"/>
      <c r="Q20" s="90"/>
      <c r="R20" s="90"/>
      <c r="S20" s="91"/>
      <c r="T20" s="90"/>
      <c r="U20" s="90"/>
      <c r="V20" s="90"/>
      <c r="W20" s="90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3"/>
      <c r="AN20" s="93"/>
      <c r="AO20" s="93"/>
      <c r="AP20" s="93"/>
      <c r="AQ20" s="93"/>
      <c r="AR20" s="18"/>
    </row>
    <row r="21" spans="1:44" ht="26" customHeight="1">
      <c r="A21" s="18"/>
      <c r="B21" s="56" t="s">
        <v>83</v>
      </c>
      <c r="C21" s="57" t="s">
        <v>84</v>
      </c>
      <c r="D21" s="58" t="s">
        <v>82</v>
      </c>
      <c r="E21" s="59">
        <v>46244.125</v>
      </c>
      <c r="F21" s="59">
        <v>46247.125</v>
      </c>
      <c r="G21" s="60">
        <f t="shared" si="1"/>
        <v>4</v>
      </c>
      <c r="H21" s="61">
        <v>0</v>
      </c>
      <c r="I21" s="87"/>
      <c r="J21" s="88"/>
      <c r="K21" s="89"/>
      <c r="L21" s="89"/>
      <c r="M21" s="89"/>
      <c r="N21" s="90"/>
      <c r="O21" s="90"/>
      <c r="P21" s="90"/>
      <c r="Q21" s="90"/>
      <c r="R21" s="90"/>
      <c r="S21" s="91"/>
      <c r="T21" s="90"/>
      <c r="U21" s="90"/>
      <c r="V21" s="90"/>
      <c r="W21" s="90"/>
      <c r="X21" s="92"/>
      <c r="Y21" s="92"/>
      <c r="Z21" s="92"/>
      <c r="AA21" s="92"/>
      <c r="AB21" s="92"/>
      <c r="AC21" s="92"/>
      <c r="AD21" s="92"/>
      <c r="AE21" s="94"/>
      <c r="AF21" s="94"/>
      <c r="AG21" s="94"/>
      <c r="AH21" s="92"/>
      <c r="AI21" s="92"/>
      <c r="AJ21" s="92"/>
      <c r="AK21" s="92"/>
      <c r="AL21" s="92"/>
      <c r="AM21" s="93"/>
      <c r="AN21" s="93"/>
      <c r="AO21" s="93"/>
      <c r="AP21" s="93"/>
      <c r="AQ21" s="93"/>
      <c r="AR21" s="18"/>
    </row>
    <row r="22" spans="1:44" ht="26" customHeight="1">
      <c r="A22" s="18"/>
      <c r="B22" s="56" t="s">
        <v>85</v>
      </c>
      <c r="C22" s="57" t="s">
        <v>86</v>
      </c>
      <c r="D22" s="58" t="s">
        <v>87</v>
      </c>
      <c r="E22" s="59">
        <v>46246.125</v>
      </c>
      <c r="F22" s="59">
        <v>46248.125</v>
      </c>
      <c r="G22" s="60">
        <f t="shared" si="1"/>
        <v>3</v>
      </c>
      <c r="H22" s="61">
        <v>0</v>
      </c>
      <c r="I22" s="87"/>
      <c r="J22" s="88"/>
      <c r="K22" s="89"/>
      <c r="L22" s="89"/>
      <c r="M22" s="89"/>
      <c r="N22" s="90"/>
      <c r="O22" s="90"/>
      <c r="P22" s="90"/>
      <c r="Q22" s="90"/>
      <c r="R22" s="90"/>
      <c r="S22" s="91"/>
      <c r="T22" s="90"/>
      <c r="U22" s="90"/>
      <c r="V22" s="90"/>
      <c r="W22" s="90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3"/>
      <c r="AN22" s="93"/>
      <c r="AO22" s="93"/>
      <c r="AP22" s="93"/>
      <c r="AQ22" s="93"/>
      <c r="AR22" s="18"/>
    </row>
    <row r="23" spans="1:44" ht="26" customHeight="1">
      <c r="A23" s="18"/>
      <c r="B23" s="56" t="s">
        <v>88</v>
      </c>
      <c r="C23" s="57" t="s">
        <v>89</v>
      </c>
      <c r="D23" s="58" t="s">
        <v>82</v>
      </c>
      <c r="E23" s="59">
        <v>46244.125</v>
      </c>
      <c r="F23" s="59">
        <v>46247.125</v>
      </c>
      <c r="G23" s="60">
        <f t="shared" si="1"/>
        <v>4</v>
      </c>
      <c r="H23" s="61">
        <v>0</v>
      </c>
      <c r="I23" s="87"/>
      <c r="J23" s="88"/>
      <c r="K23" s="89"/>
      <c r="L23" s="89"/>
      <c r="M23" s="89"/>
      <c r="N23" s="90"/>
      <c r="O23" s="90"/>
      <c r="P23" s="90"/>
      <c r="Q23" s="90"/>
      <c r="R23" s="90"/>
      <c r="S23" s="91"/>
      <c r="T23" s="90"/>
      <c r="U23" s="90"/>
      <c r="V23" s="90"/>
      <c r="W23" s="90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3"/>
      <c r="AN23" s="93"/>
      <c r="AO23" s="93"/>
      <c r="AP23" s="93"/>
      <c r="AQ23" s="93"/>
      <c r="AR23" s="18"/>
    </row>
    <row r="24" spans="1:44" ht="26" customHeight="1">
      <c r="A24" s="12"/>
      <c r="B24" s="62" t="s">
        <v>90</v>
      </c>
      <c r="C24" s="63" t="s">
        <v>91</v>
      </c>
      <c r="D24" s="64" t="s">
        <v>92</v>
      </c>
      <c r="E24" s="65">
        <v>46246.125</v>
      </c>
      <c r="F24" s="65">
        <v>46248.125</v>
      </c>
      <c r="G24" s="66">
        <f t="shared" si="1"/>
        <v>3</v>
      </c>
      <c r="H24" s="67">
        <v>0</v>
      </c>
      <c r="I24" s="95"/>
      <c r="J24" s="96"/>
      <c r="K24" s="97"/>
      <c r="L24" s="97"/>
      <c r="M24" s="95"/>
      <c r="N24" s="98"/>
      <c r="O24" s="98"/>
      <c r="P24" s="98"/>
      <c r="Q24" s="98"/>
      <c r="R24" s="98"/>
      <c r="S24" s="99"/>
      <c r="T24" s="98"/>
      <c r="U24" s="98"/>
      <c r="V24" s="98"/>
      <c r="W24" s="98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1"/>
      <c r="AN24" s="101"/>
      <c r="AO24" s="101"/>
      <c r="AP24" s="101"/>
      <c r="AQ24" s="101"/>
      <c r="AR24" s="12"/>
    </row>
    <row r="25" spans="1:44" ht="26" customHeight="1">
      <c r="A25" s="18"/>
      <c r="B25" s="56" t="s">
        <v>93</v>
      </c>
      <c r="C25" s="57" t="s">
        <v>94</v>
      </c>
      <c r="D25" s="58" t="s">
        <v>82</v>
      </c>
      <c r="E25" s="59">
        <v>46244.125</v>
      </c>
      <c r="F25" s="59">
        <v>46248.125</v>
      </c>
      <c r="G25" s="60">
        <f t="shared" si="1"/>
        <v>5</v>
      </c>
      <c r="H25" s="61">
        <v>0</v>
      </c>
      <c r="I25" s="87"/>
      <c r="J25" s="88"/>
      <c r="K25" s="89"/>
      <c r="L25" s="89"/>
      <c r="M25" s="89"/>
      <c r="N25" s="90"/>
      <c r="O25" s="90"/>
      <c r="P25" s="90"/>
      <c r="Q25" s="90"/>
      <c r="R25" s="90"/>
      <c r="S25" s="91"/>
      <c r="T25" s="90"/>
      <c r="U25" s="90"/>
      <c r="V25" s="90"/>
      <c r="W25" s="90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3"/>
      <c r="AN25" s="93"/>
      <c r="AO25" s="93"/>
      <c r="AP25" s="93"/>
      <c r="AQ25" s="93"/>
      <c r="AR25" s="18"/>
    </row>
    <row r="26" spans="1:44" ht="26" customHeight="1">
      <c r="A26" s="18"/>
      <c r="B26" s="56" t="s">
        <v>95</v>
      </c>
      <c r="C26" s="57" t="s">
        <v>96</v>
      </c>
      <c r="D26" s="58" t="s">
        <v>97</v>
      </c>
      <c r="E26" s="59">
        <v>46251.125</v>
      </c>
      <c r="F26" s="59">
        <v>46254.125</v>
      </c>
      <c r="G26" s="60">
        <f t="shared" si="1"/>
        <v>3</v>
      </c>
      <c r="H26" s="61">
        <v>0</v>
      </c>
      <c r="I26" s="87"/>
      <c r="J26" s="88"/>
      <c r="K26" s="89"/>
      <c r="L26" s="89"/>
      <c r="M26" s="89"/>
      <c r="N26" s="90"/>
      <c r="O26" s="90"/>
      <c r="P26" s="90"/>
      <c r="Q26" s="90"/>
      <c r="R26" s="90"/>
      <c r="S26" s="91"/>
      <c r="T26" s="90"/>
      <c r="U26" s="90"/>
      <c r="V26" s="90"/>
      <c r="W26" s="90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3"/>
      <c r="AN26" s="93"/>
      <c r="AO26" s="93"/>
      <c r="AP26" s="93"/>
      <c r="AQ26" s="93"/>
      <c r="AR26" s="18"/>
    </row>
    <row r="27" spans="1:44" ht="26" customHeight="1">
      <c r="A27" s="18"/>
      <c r="B27" s="56" t="s">
        <v>98</v>
      </c>
      <c r="C27" s="57" t="s">
        <v>99</v>
      </c>
      <c r="D27" s="58" t="s">
        <v>82</v>
      </c>
      <c r="E27" s="59">
        <v>46251.125</v>
      </c>
      <c r="F27" s="59">
        <v>46254.125</v>
      </c>
      <c r="G27" s="60">
        <f t="shared" si="1"/>
        <v>3</v>
      </c>
      <c r="H27" s="61">
        <v>0</v>
      </c>
      <c r="I27" s="87"/>
      <c r="J27" s="88"/>
      <c r="K27" s="89"/>
      <c r="L27" s="89"/>
      <c r="M27" s="89"/>
      <c r="N27" s="90"/>
      <c r="O27" s="90"/>
      <c r="P27" s="90"/>
      <c r="Q27" s="90"/>
      <c r="R27" s="90"/>
      <c r="S27" s="91"/>
      <c r="T27" s="90"/>
      <c r="U27" s="90"/>
      <c r="V27" s="90"/>
      <c r="W27" s="90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3"/>
      <c r="AN27" s="93"/>
      <c r="AO27" s="93"/>
      <c r="AP27" s="93"/>
      <c r="AQ27" s="93"/>
      <c r="AR27" s="18"/>
    </row>
    <row r="28" spans="1:44" ht="26" customHeight="1">
      <c r="A28" s="18"/>
      <c r="B28" s="56" t="s">
        <v>100</v>
      </c>
      <c r="C28" s="57" t="s">
        <v>101</v>
      </c>
      <c r="D28" s="58" t="s">
        <v>92</v>
      </c>
      <c r="E28" s="59">
        <v>46254.125</v>
      </c>
      <c r="F28" s="59">
        <v>46255.125</v>
      </c>
      <c r="G28" s="60">
        <f t="shared" si="1"/>
        <v>2</v>
      </c>
      <c r="H28" s="61">
        <v>0</v>
      </c>
      <c r="I28" s="87"/>
      <c r="J28" s="88"/>
      <c r="K28" s="89"/>
      <c r="L28" s="89"/>
      <c r="M28" s="89"/>
      <c r="N28" s="90"/>
      <c r="O28" s="90"/>
      <c r="P28" s="90"/>
      <c r="Q28" s="90"/>
      <c r="R28" s="90"/>
      <c r="S28" s="91"/>
      <c r="T28" s="90"/>
      <c r="U28" s="90"/>
      <c r="V28" s="90"/>
      <c r="W28" s="90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3"/>
      <c r="AN28" s="93"/>
      <c r="AO28" s="93"/>
      <c r="AP28" s="93"/>
      <c r="AQ28" s="93"/>
      <c r="AR28" s="18"/>
    </row>
    <row r="29" spans="1:44" ht="26" customHeight="1">
      <c r="A29" s="18"/>
      <c r="B29" s="56" t="s">
        <v>102</v>
      </c>
      <c r="C29" s="57" t="s">
        <v>103</v>
      </c>
      <c r="D29" s="58" t="s">
        <v>97</v>
      </c>
      <c r="E29" s="59">
        <v>46251.125</v>
      </c>
      <c r="F29" s="59">
        <v>46260.125</v>
      </c>
      <c r="G29" s="60">
        <f t="shared" si="1"/>
        <v>7</v>
      </c>
      <c r="H29" s="61">
        <v>0</v>
      </c>
      <c r="I29" s="87"/>
      <c r="J29" s="88"/>
      <c r="K29" s="89"/>
      <c r="L29" s="89"/>
      <c r="M29" s="89"/>
      <c r="N29" s="90"/>
      <c r="O29" s="90"/>
      <c r="P29" s="90"/>
      <c r="Q29" s="90"/>
      <c r="R29" s="90"/>
      <c r="S29" s="91"/>
      <c r="T29" s="90"/>
      <c r="U29" s="90"/>
      <c r="V29" s="90"/>
      <c r="W29" s="90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3"/>
      <c r="AN29" s="93"/>
      <c r="AO29" s="93"/>
      <c r="AP29" s="93"/>
      <c r="AQ29" s="93"/>
      <c r="AR29" s="18"/>
    </row>
    <row r="30" spans="1:44" ht="26" customHeight="1">
      <c r="A30" s="18"/>
      <c r="B30" s="56" t="s">
        <v>104</v>
      </c>
      <c r="C30" s="57" t="s">
        <v>105</v>
      </c>
      <c r="D30" s="58" t="s">
        <v>97</v>
      </c>
      <c r="E30" s="59">
        <v>46251.125</v>
      </c>
      <c r="F30" s="59">
        <v>46261.125</v>
      </c>
      <c r="G30" s="60">
        <f t="shared" si="1"/>
        <v>8</v>
      </c>
      <c r="H30" s="61">
        <v>0</v>
      </c>
      <c r="I30" s="87"/>
      <c r="J30" s="88"/>
      <c r="K30" s="89"/>
      <c r="L30" s="89"/>
      <c r="M30" s="89"/>
      <c r="N30" s="90"/>
      <c r="O30" s="90"/>
      <c r="P30" s="90"/>
      <c r="Q30" s="90"/>
      <c r="R30" s="90"/>
      <c r="S30" s="91"/>
      <c r="T30" s="90"/>
      <c r="U30" s="90"/>
      <c r="V30" s="90"/>
      <c r="W30" s="90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3"/>
      <c r="AN30" s="93"/>
      <c r="AO30" s="93"/>
      <c r="AP30" s="93"/>
      <c r="AQ30" s="93"/>
      <c r="AR30" s="18"/>
    </row>
    <row r="31" spans="1:44" ht="26" customHeight="1">
      <c r="A31" s="12"/>
      <c r="B31" s="102" t="s">
        <v>106</v>
      </c>
      <c r="C31" s="103" t="s">
        <v>107</v>
      </c>
      <c r="D31" s="104" t="s">
        <v>97</v>
      </c>
      <c r="E31" s="105">
        <v>46261.125</v>
      </c>
      <c r="F31" s="105">
        <v>46262.125</v>
      </c>
      <c r="G31" s="106">
        <f t="shared" si="1"/>
        <v>2</v>
      </c>
      <c r="H31" s="107">
        <v>0</v>
      </c>
      <c r="I31" s="108"/>
      <c r="J31" s="109"/>
      <c r="K31" s="110"/>
      <c r="L31" s="110"/>
      <c r="M31" s="108"/>
      <c r="N31" s="111"/>
      <c r="O31" s="111"/>
      <c r="P31" s="111"/>
      <c r="Q31" s="111"/>
      <c r="R31" s="111"/>
      <c r="S31" s="112"/>
      <c r="T31" s="111"/>
      <c r="U31" s="111"/>
      <c r="V31" s="111"/>
      <c r="W31" s="111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4"/>
      <c r="AN31" s="114"/>
      <c r="AO31" s="114"/>
      <c r="AP31" s="114"/>
      <c r="AQ31" s="114"/>
      <c r="AR31" s="12"/>
    </row>
    <row r="32" spans="1:44" ht="22" customHeight="1">
      <c r="A32" s="18"/>
      <c r="B32" s="115" t="s">
        <v>108</v>
      </c>
      <c r="C32" s="116" t="s">
        <v>109</v>
      </c>
      <c r="D32" s="117"/>
      <c r="E32" s="118"/>
      <c r="F32" s="118"/>
      <c r="G32" s="119"/>
      <c r="H32" s="120"/>
      <c r="I32" s="121"/>
      <c r="J32" s="122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8"/>
    </row>
    <row r="33" spans="1:69" ht="26" customHeight="1">
      <c r="A33" s="18"/>
      <c r="B33" s="56" t="s">
        <v>110</v>
      </c>
      <c r="C33" s="57" t="s">
        <v>111</v>
      </c>
      <c r="D33" s="58" t="s">
        <v>112</v>
      </c>
      <c r="E33" s="59">
        <v>46251.125</v>
      </c>
      <c r="F33" s="59">
        <v>46255.125</v>
      </c>
      <c r="G33" s="60">
        <f t="shared" ref="G33:G41" si="2">NETWORKDAYS(E33,F33,$H$7)</f>
        <v>4</v>
      </c>
      <c r="H33" s="61">
        <v>0</v>
      </c>
      <c r="I33" s="87"/>
      <c r="J33" s="88"/>
      <c r="K33" s="89"/>
      <c r="L33" s="89"/>
      <c r="M33" s="89"/>
      <c r="N33" s="90"/>
      <c r="O33" s="90"/>
      <c r="P33" s="90"/>
      <c r="Q33" s="90"/>
      <c r="R33" s="90"/>
      <c r="S33" s="91"/>
      <c r="T33" s="90"/>
      <c r="U33" s="90"/>
      <c r="V33" s="90"/>
      <c r="W33" s="90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3"/>
      <c r="AN33" s="93"/>
      <c r="AO33" s="93"/>
      <c r="AP33" s="93"/>
      <c r="AQ33" s="93"/>
      <c r="AR33" s="18"/>
    </row>
    <row r="34" spans="1:69" ht="26" customHeight="1">
      <c r="A34" s="18"/>
      <c r="B34" s="56" t="s">
        <v>113</v>
      </c>
      <c r="C34" s="57" t="s">
        <v>114</v>
      </c>
      <c r="D34" s="58" t="s">
        <v>112</v>
      </c>
      <c r="E34" s="59">
        <v>46251.125</v>
      </c>
      <c r="F34" s="59">
        <v>46255.125</v>
      </c>
      <c r="G34" s="60">
        <f t="shared" si="2"/>
        <v>4</v>
      </c>
      <c r="H34" s="61">
        <v>0</v>
      </c>
      <c r="I34" s="87"/>
      <c r="J34" s="88"/>
      <c r="K34" s="89"/>
      <c r="L34" s="89"/>
      <c r="M34" s="89"/>
      <c r="N34" s="90"/>
      <c r="O34" s="90"/>
      <c r="P34" s="90"/>
      <c r="Q34" s="90"/>
      <c r="R34" s="90"/>
      <c r="S34" s="91"/>
      <c r="T34" s="90"/>
      <c r="U34" s="90"/>
      <c r="V34" s="90"/>
      <c r="W34" s="90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3"/>
      <c r="AN34" s="93"/>
      <c r="AO34" s="93"/>
      <c r="AP34" s="93"/>
      <c r="AQ34" s="93"/>
      <c r="AR34" s="18"/>
    </row>
    <row r="35" spans="1:69" ht="26" customHeight="1">
      <c r="A35" s="18"/>
      <c r="B35" s="56" t="s">
        <v>115</v>
      </c>
      <c r="C35" s="57" t="s">
        <v>116</v>
      </c>
      <c r="D35" s="58" t="s">
        <v>112</v>
      </c>
      <c r="E35" s="59">
        <v>46254.125</v>
      </c>
      <c r="F35" s="59">
        <v>46259.125</v>
      </c>
      <c r="G35" s="60">
        <f t="shared" si="2"/>
        <v>4</v>
      </c>
      <c r="H35" s="61">
        <v>0</v>
      </c>
      <c r="I35" s="87"/>
      <c r="J35" s="88"/>
      <c r="K35" s="89"/>
      <c r="L35" s="89"/>
      <c r="M35" s="89"/>
      <c r="N35" s="90"/>
      <c r="O35" s="90"/>
      <c r="P35" s="90"/>
      <c r="Q35" s="90"/>
      <c r="R35" s="90"/>
      <c r="S35" s="91"/>
      <c r="T35" s="90"/>
      <c r="U35" s="90"/>
      <c r="V35" s="90"/>
      <c r="W35" s="90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3"/>
      <c r="AN35" s="93"/>
      <c r="AO35" s="93"/>
      <c r="AP35" s="93"/>
      <c r="AQ35" s="93"/>
      <c r="AR35" s="18"/>
    </row>
    <row r="36" spans="1:69" ht="26" customHeight="1">
      <c r="A36" s="12"/>
      <c r="B36" s="68" t="s">
        <v>117</v>
      </c>
      <c r="C36" s="63" t="s">
        <v>118</v>
      </c>
      <c r="D36" s="64" t="s">
        <v>112</v>
      </c>
      <c r="E36" s="69">
        <v>46254.125</v>
      </c>
      <c r="F36" s="69">
        <v>46260.125</v>
      </c>
      <c r="G36" s="70">
        <f t="shared" si="2"/>
        <v>5</v>
      </c>
      <c r="H36" s="71">
        <v>0</v>
      </c>
      <c r="I36" s="124"/>
      <c r="J36" s="124"/>
      <c r="K36" s="124"/>
      <c r="L36" s="124"/>
      <c r="M36" s="124"/>
      <c r="N36" s="125"/>
      <c r="O36" s="125"/>
      <c r="P36" s="125"/>
      <c r="Q36" s="125"/>
      <c r="R36" s="125"/>
      <c r="S36" s="126"/>
      <c r="T36" s="125"/>
      <c r="U36" s="125"/>
      <c r="V36" s="125"/>
      <c r="W36" s="125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8"/>
      <c r="AN36" s="128"/>
      <c r="AO36" s="128"/>
      <c r="AP36" s="128"/>
      <c r="AQ36" s="128"/>
      <c r="AR36" s="12"/>
    </row>
    <row r="37" spans="1:69" ht="26" customHeight="1">
      <c r="A37" s="12"/>
      <c r="B37" s="68" t="s">
        <v>119</v>
      </c>
      <c r="C37" s="63" t="s">
        <v>120</v>
      </c>
      <c r="D37" s="64" t="s">
        <v>112</v>
      </c>
      <c r="E37" s="69">
        <v>46258.125</v>
      </c>
      <c r="F37" s="69">
        <v>46261.125</v>
      </c>
      <c r="G37" s="70">
        <f t="shared" si="2"/>
        <v>4</v>
      </c>
      <c r="H37" s="71">
        <v>0</v>
      </c>
      <c r="I37" s="124"/>
      <c r="J37" s="124"/>
      <c r="K37" s="124"/>
      <c r="L37" s="124"/>
      <c r="M37" s="124"/>
      <c r="N37" s="125"/>
      <c r="O37" s="125"/>
      <c r="P37" s="125"/>
      <c r="Q37" s="125"/>
      <c r="R37" s="125"/>
      <c r="S37" s="126"/>
      <c r="T37" s="125"/>
      <c r="U37" s="125"/>
      <c r="V37" s="125"/>
      <c r="W37" s="125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8"/>
      <c r="AN37" s="128"/>
      <c r="AO37" s="128"/>
      <c r="AP37" s="128"/>
      <c r="AQ37" s="128"/>
      <c r="AR37" s="12"/>
    </row>
    <row r="38" spans="1:69" ht="26" customHeight="1">
      <c r="A38" s="12"/>
      <c r="B38" s="68" t="s">
        <v>121</v>
      </c>
      <c r="C38" s="63" t="s">
        <v>122</v>
      </c>
      <c r="D38" s="64" t="s">
        <v>97</v>
      </c>
      <c r="E38" s="69">
        <v>46258.125</v>
      </c>
      <c r="F38" s="69">
        <v>46261.125</v>
      </c>
      <c r="G38" s="70">
        <f t="shared" si="2"/>
        <v>4</v>
      </c>
      <c r="H38" s="71">
        <v>0</v>
      </c>
      <c r="I38" s="124"/>
      <c r="J38" s="124"/>
      <c r="K38" s="124"/>
      <c r="L38" s="124"/>
      <c r="M38" s="124"/>
      <c r="N38" s="125"/>
      <c r="O38" s="125"/>
      <c r="P38" s="125"/>
      <c r="Q38" s="125"/>
      <c r="R38" s="125"/>
      <c r="S38" s="126"/>
      <c r="T38" s="125"/>
      <c r="U38" s="125"/>
      <c r="V38" s="125"/>
      <c r="W38" s="125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8"/>
      <c r="AN38" s="128"/>
      <c r="AO38" s="128"/>
      <c r="AP38" s="128"/>
      <c r="AQ38" s="128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</row>
    <row r="39" spans="1:69" ht="26" customHeight="1">
      <c r="B39" s="72" t="s">
        <v>123</v>
      </c>
      <c r="C39" s="73" t="s">
        <v>124</v>
      </c>
      <c r="D39" s="74" t="s">
        <v>125</v>
      </c>
      <c r="E39" s="75">
        <v>46251.125</v>
      </c>
      <c r="F39" s="75">
        <v>46255.125</v>
      </c>
      <c r="G39" s="76">
        <f t="shared" si="2"/>
        <v>4</v>
      </c>
      <c r="H39" s="77">
        <v>0</v>
      </c>
      <c r="I39" s="129"/>
      <c r="J39" s="129"/>
      <c r="K39" s="129"/>
      <c r="L39" s="129"/>
      <c r="M39" s="129"/>
      <c r="N39" s="130"/>
      <c r="O39" s="130"/>
      <c r="P39" s="130"/>
      <c r="Q39" s="130"/>
      <c r="R39" s="130"/>
      <c r="S39" s="131"/>
      <c r="T39" s="130"/>
      <c r="U39" s="130"/>
      <c r="V39" s="130"/>
      <c r="W39" s="130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3"/>
      <c r="AN39" s="133"/>
      <c r="AO39" s="133"/>
      <c r="AP39" s="133"/>
      <c r="AQ39" s="133"/>
    </row>
    <row r="40" spans="1:69" ht="26" customHeight="1">
      <c r="B40" s="72" t="s">
        <v>126</v>
      </c>
      <c r="C40" s="73" t="s">
        <v>127</v>
      </c>
      <c r="D40" s="74" t="s">
        <v>112</v>
      </c>
      <c r="E40" s="75">
        <v>46260.125</v>
      </c>
      <c r="F40" s="75">
        <v>46262.125</v>
      </c>
      <c r="G40" s="76">
        <f t="shared" si="2"/>
        <v>3</v>
      </c>
      <c r="H40" s="77">
        <v>0</v>
      </c>
      <c r="I40" s="129"/>
      <c r="J40" s="129"/>
      <c r="K40" s="129"/>
      <c r="L40" s="129"/>
      <c r="M40" s="129"/>
      <c r="N40" s="130"/>
      <c r="O40" s="130"/>
      <c r="P40" s="130"/>
      <c r="Q40" s="130"/>
      <c r="R40" s="130"/>
      <c r="S40" s="131"/>
      <c r="T40" s="130"/>
      <c r="U40" s="130"/>
      <c r="V40" s="130"/>
      <c r="W40" s="130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3"/>
      <c r="AN40" s="133"/>
      <c r="AO40" s="133"/>
      <c r="AP40" s="133"/>
      <c r="AQ40" s="133"/>
    </row>
    <row r="41" spans="1:69" ht="26" customHeight="1">
      <c r="B41" s="72" t="s">
        <v>128</v>
      </c>
      <c r="C41" s="73" t="s">
        <v>129</v>
      </c>
      <c r="D41" s="74" t="s">
        <v>125</v>
      </c>
      <c r="E41" s="75">
        <v>46261.125</v>
      </c>
      <c r="F41" s="75">
        <v>46262.125</v>
      </c>
      <c r="G41" s="76">
        <f t="shared" si="2"/>
        <v>2</v>
      </c>
      <c r="H41" s="77">
        <v>0</v>
      </c>
      <c r="I41" s="129"/>
      <c r="J41" s="129"/>
      <c r="K41" s="129"/>
      <c r="L41" s="129"/>
      <c r="M41" s="129"/>
      <c r="N41" s="130"/>
      <c r="O41" s="130"/>
      <c r="P41" s="130"/>
      <c r="Q41" s="130"/>
      <c r="R41" s="130"/>
      <c r="S41" s="131"/>
      <c r="T41" s="130"/>
      <c r="U41" s="130"/>
      <c r="V41" s="130"/>
      <c r="W41" s="130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3"/>
      <c r="AN41" s="133"/>
      <c r="AO41" s="133"/>
      <c r="AP41" s="133"/>
      <c r="AQ41" s="133"/>
    </row>
    <row r="42" spans="1:69" ht="22" customHeight="1">
      <c r="B42" s="83" t="s">
        <v>130</v>
      </c>
      <c r="C42" s="84" t="s">
        <v>131</v>
      </c>
      <c r="D42" s="78"/>
      <c r="E42" s="79"/>
      <c r="F42" s="79"/>
      <c r="G42" s="80"/>
      <c r="H42" s="81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</row>
    <row r="43" spans="1:69" ht="26" customHeight="1">
      <c r="B43" s="72" t="s">
        <v>132</v>
      </c>
      <c r="C43" s="73" t="s">
        <v>133</v>
      </c>
      <c r="D43" s="74" t="s">
        <v>134</v>
      </c>
      <c r="E43" s="75">
        <v>46258.125</v>
      </c>
      <c r="F43" s="75">
        <v>46259.125</v>
      </c>
      <c r="G43" s="76">
        <f t="shared" ref="G43:G54" si="3">NETWORKDAYS(E43,F43,$H$7)</f>
        <v>2</v>
      </c>
      <c r="H43" s="77">
        <v>0</v>
      </c>
      <c r="I43" s="129"/>
      <c r="J43" s="129"/>
      <c r="K43" s="129"/>
      <c r="L43" s="129"/>
      <c r="M43" s="129"/>
      <c r="N43" s="130"/>
      <c r="O43" s="130"/>
      <c r="P43" s="130"/>
      <c r="Q43" s="130"/>
      <c r="R43" s="130"/>
      <c r="S43" s="131"/>
      <c r="T43" s="130"/>
      <c r="U43" s="130"/>
      <c r="V43" s="130"/>
      <c r="W43" s="130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3"/>
      <c r="AN43" s="133"/>
      <c r="AO43" s="133"/>
      <c r="AP43" s="133"/>
      <c r="AQ43" s="133"/>
    </row>
    <row r="44" spans="1:69" ht="26" customHeight="1">
      <c r="B44" s="72" t="s">
        <v>135</v>
      </c>
      <c r="C44" s="73" t="s">
        <v>136</v>
      </c>
      <c r="D44" s="74" t="s">
        <v>137</v>
      </c>
      <c r="E44" s="75">
        <v>46258.125</v>
      </c>
      <c r="F44" s="75">
        <v>46261.125</v>
      </c>
      <c r="G44" s="76">
        <f t="shared" si="3"/>
        <v>4</v>
      </c>
      <c r="H44" s="77">
        <v>0</v>
      </c>
      <c r="I44" s="129"/>
      <c r="J44" s="129"/>
      <c r="K44" s="129"/>
      <c r="L44" s="129"/>
      <c r="M44" s="129"/>
      <c r="N44" s="130"/>
      <c r="O44" s="130"/>
      <c r="P44" s="130"/>
      <c r="Q44" s="130"/>
      <c r="R44" s="130"/>
      <c r="S44" s="131"/>
      <c r="T44" s="130"/>
      <c r="U44" s="130"/>
      <c r="V44" s="130"/>
      <c r="W44" s="130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3"/>
      <c r="AN44" s="133"/>
      <c r="AO44" s="133"/>
      <c r="AP44" s="133"/>
      <c r="AQ44" s="133"/>
    </row>
    <row r="45" spans="1:69" ht="26" customHeight="1">
      <c r="B45" s="72" t="s">
        <v>138</v>
      </c>
      <c r="C45" s="73" t="s">
        <v>139</v>
      </c>
      <c r="D45" s="74" t="s">
        <v>134</v>
      </c>
      <c r="E45" s="75">
        <v>46261.125</v>
      </c>
      <c r="F45" s="75">
        <v>46262.125</v>
      </c>
      <c r="G45" s="76">
        <f t="shared" si="3"/>
        <v>2</v>
      </c>
      <c r="H45" s="77">
        <v>0</v>
      </c>
      <c r="I45" s="129"/>
      <c r="J45" s="129"/>
      <c r="K45" s="129"/>
      <c r="L45" s="129"/>
      <c r="M45" s="129"/>
      <c r="N45" s="130"/>
      <c r="O45" s="130"/>
      <c r="P45" s="130"/>
      <c r="Q45" s="130"/>
      <c r="R45" s="130"/>
      <c r="S45" s="131"/>
      <c r="T45" s="130"/>
      <c r="U45" s="130"/>
      <c r="V45" s="130"/>
      <c r="W45" s="130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3"/>
      <c r="AN45" s="133"/>
      <c r="AO45" s="133"/>
      <c r="AP45" s="133"/>
      <c r="AQ45" s="133"/>
    </row>
    <row r="46" spans="1:69" ht="26" customHeight="1">
      <c r="B46" s="72" t="s">
        <v>140</v>
      </c>
      <c r="C46" s="73" t="s">
        <v>141</v>
      </c>
      <c r="D46" s="74" t="s">
        <v>142</v>
      </c>
      <c r="E46" s="75">
        <v>46258.125</v>
      </c>
      <c r="F46" s="75">
        <v>46265.125</v>
      </c>
      <c r="G46" s="76">
        <f t="shared" si="3"/>
        <v>6</v>
      </c>
      <c r="H46" s="77">
        <v>0</v>
      </c>
      <c r="I46" s="129"/>
      <c r="J46" s="129"/>
      <c r="K46" s="129"/>
      <c r="L46" s="129"/>
      <c r="M46" s="129"/>
      <c r="N46" s="130"/>
      <c r="O46" s="130"/>
      <c r="P46" s="130"/>
      <c r="Q46" s="130"/>
      <c r="R46" s="130"/>
      <c r="S46" s="131"/>
      <c r="T46" s="130"/>
      <c r="U46" s="130"/>
      <c r="V46" s="130"/>
      <c r="W46" s="130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3"/>
      <c r="AN46" s="133"/>
      <c r="AO46" s="133"/>
      <c r="AP46" s="133"/>
      <c r="AQ46" s="133"/>
    </row>
    <row r="47" spans="1:69" ht="26" customHeight="1">
      <c r="B47" s="72" t="s">
        <v>143</v>
      </c>
      <c r="C47" s="73" t="s">
        <v>144</v>
      </c>
      <c r="D47" s="74" t="s">
        <v>145</v>
      </c>
      <c r="E47" s="75">
        <v>46259.125</v>
      </c>
      <c r="F47" s="75">
        <v>46266.125</v>
      </c>
      <c r="G47" s="76">
        <f t="shared" si="3"/>
        <v>6</v>
      </c>
      <c r="H47" s="77">
        <v>0</v>
      </c>
      <c r="I47" s="129"/>
      <c r="J47" s="129"/>
      <c r="K47" s="129"/>
      <c r="L47" s="129"/>
      <c r="M47" s="129"/>
      <c r="N47" s="130"/>
      <c r="O47" s="130"/>
      <c r="P47" s="130"/>
      <c r="Q47" s="130"/>
      <c r="R47" s="130"/>
      <c r="S47" s="131"/>
      <c r="T47" s="130"/>
      <c r="U47" s="130"/>
      <c r="V47" s="130"/>
      <c r="W47" s="130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3"/>
      <c r="AN47" s="133"/>
      <c r="AO47" s="133"/>
      <c r="AP47" s="133"/>
      <c r="AQ47" s="133"/>
    </row>
    <row r="48" spans="1:69" ht="26" customHeight="1">
      <c r="B48" s="72" t="s">
        <v>146</v>
      </c>
      <c r="C48" s="73" t="s">
        <v>147</v>
      </c>
      <c r="D48" s="74" t="s">
        <v>148</v>
      </c>
      <c r="E48" s="75">
        <v>46261.125</v>
      </c>
      <c r="F48" s="75">
        <v>46267.125</v>
      </c>
      <c r="G48" s="76">
        <f t="shared" si="3"/>
        <v>5</v>
      </c>
      <c r="H48" s="77">
        <v>0</v>
      </c>
      <c r="I48" s="129"/>
      <c r="J48" s="129"/>
      <c r="K48" s="129"/>
      <c r="L48" s="129"/>
      <c r="M48" s="129"/>
      <c r="N48" s="130"/>
      <c r="O48" s="130"/>
      <c r="P48" s="130"/>
      <c r="Q48" s="130"/>
      <c r="R48" s="130"/>
      <c r="S48" s="131"/>
      <c r="T48" s="130"/>
      <c r="U48" s="130"/>
      <c r="V48" s="130"/>
      <c r="W48" s="130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3"/>
      <c r="AN48" s="133"/>
      <c r="AO48" s="133"/>
      <c r="AP48" s="133"/>
      <c r="AQ48" s="133"/>
    </row>
    <row r="49" spans="2:43" ht="26" customHeight="1">
      <c r="B49" s="72" t="s">
        <v>149</v>
      </c>
      <c r="C49" s="73" t="s">
        <v>150</v>
      </c>
      <c r="D49" s="74" t="s">
        <v>142</v>
      </c>
      <c r="E49" s="75">
        <v>46265.125</v>
      </c>
      <c r="F49" s="75">
        <v>46269.125</v>
      </c>
      <c r="G49" s="76">
        <f t="shared" si="3"/>
        <v>5</v>
      </c>
      <c r="H49" s="77">
        <v>0</v>
      </c>
      <c r="I49" s="129"/>
      <c r="J49" s="129"/>
      <c r="K49" s="129"/>
      <c r="L49" s="129"/>
      <c r="M49" s="129"/>
      <c r="N49" s="130"/>
      <c r="O49" s="130"/>
      <c r="P49" s="130"/>
      <c r="Q49" s="130"/>
      <c r="R49" s="130"/>
      <c r="S49" s="131"/>
      <c r="T49" s="130"/>
      <c r="U49" s="130"/>
      <c r="V49" s="130"/>
      <c r="W49" s="130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3"/>
      <c r="AN49" s="133"/>
      <c r="AO49" s="133"/>
      <c r="AP49" s="133"/>
      <c r="AQ49" s="133"/>
    </row>
    <row r="50" spans="2:43" ht="26" customHeight="1">
      <c r="B50" s="72" t="s">
        <v>151</v>
      </c>
      <c r="C50" s="73" t="s">
        <v>152</v>
      </c>
      <c r="D50" s="74" t="s">
        <v>142</v>
      </c>
      <c r="E50" s="75">
        <v>46266.125</v>
      </c>
      <c r="F50" s="75">
        <v>46269.125</v>
      </c>
      <c r="G50" s="76">
        <f t="shared" si="3"/>
        <v>4</v>
      </c>
      <c r="H50" s="77">
        <v>0</v>
      </c>
      <c r="I50" s="129"/>
      <c r="J50" s="129"/>
      <c r="K50" s="129"/>
      <c r="L50" s="129"/>
      <c r="M50" s="129"/>
      <c r="N50" s="130"/>
      <c r="O50" s="130"/>
      <c r="P50" s="130"/>
      <c r="Q50" s="130"/>
      <c r="R50" s="130"/>
      <c r="S50" s="131"/>
      <c r="T50" s="130"/>
      <c r="U50" s="130"/>
      <c r="V50" s="130"/>
      <c r="W50" s="130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3"/>
      <c r="AN50" s="133"/>
      <c r="AO50" s="133"/>
      <c r="AP50" s="133"/>
      <c r="AQ50" s="133"/>
    </row>
    <row r="51" spans="2:43" ht="26" customHeight="1">
      <c r="B51" s="72" t="s">
        <v>153</v>
      </c>
      <c r="C51" s="73" t="s">
        <v>154</v>
      </c>
      <c r="D51" s="74" t="s">
        <v>145</v>
      </c>
      <c r="E51" s="75">
        <v>46266.125</v>
      </c>
      <c r="F51" s="75">
        <v>46273.125</v>
      </c>
      <c r="G51" s="76">
        <f t="shared" si="3"/>
        <v>6</v>
      </c>
      <c r="H51" s="77">
        <v>0</v>
      </c>
      <c r="I51" s="129"/>
      <c r="J51" s="129"/>
      <c r="K51" s="129"/>
      <c r="L51" s="129"/>
      <c r="M51" s="129"/>
      <c r="N51" s="130"/>
      <c r="O51" s="130"/>
      <c r="P51" s="130"/>
      <c r="Q51" s="130"/>
      <c r="R51" s="130"/>
      <c r="S51" s="131"/>
      <c r="T51" s="130"/>
      <c r="U51" s="130"/>
      <c r="V51" s="130"/>
      <c r="W51" s="130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3"/>
      <c r="AN51" s="133"/>
      <c r="AO51" s="133"/>
      <c r="AP51" s="133"/>
      <c r="AQ51" s="133"/>
    </row>
    <row r="52" spans="2:43" ht="26" customHeight="1">
      <c r="B52" s="72" t="s">
        <v>155</v>
      </c>
      <c r="C52" s="73" t="s">
        <v>156</v>
      </c>
      <c r="D52" s="74" t="s">
        <v>82</v>
      </c>
      <c r="E52" s="75">
        <v>46265.125</v>
      </c>
      <c r="F52" s="75">
        <v>46273.125</v>
      </c>
      <c r="G52" s="76">
        <f t="shared" si="3"/>
        <v>7</v>
      </c>
      <c r="H52" s="77">
        <v>0</v>
      </c>
      <c r="I52" s="129"/>
      <c r="J52" s="129"/>
      <c r="K52" s="129"/>
      <c r="L52" s="129"/>
      <c r="M52" s="129"/>
      <c r="N52" s="130"/>
      <c r="O52" s="130"/>
      <c r="P52" s="130"/>
      <c r="Q52" s="130"/>
      <c r="R52" s="130"/>
      <c r="S52" s="131"/>
      <c r="T52" s="130"/>
      <c r="U52" s="130"/>
      <c r="V52" s="130"/>
      <c r="W52" s="130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3"/>
      <c r="AN52" s="133"/>
      <c r="AO52" s="133"/>
      <c r="AP52" s="133"/>
      <c r="AQ52" s="133"/>
    </row>
    <row r="53" spans="2:43" ht="26" customHeight="1">
      <c r="B53" s="72" t="s">
        <v>157</v>
      </c>
      <c r="C53" s="73" t="s">
        <v>158</v>
      </c>
      <c r="D53" s="74" t="s">
        <v>71</v>
      </c>
      <c r="E53" s="75">
        <v>46268.125</v>
      </c>
      <c r="F53" s="75">
        <v>46275.125</v>
      </c>
      <c r="G53" s="76">
        <f t="shared" si="3"/>
        <v>6</v>
      </c>
      <c r="H53" s="77">
        <v>0</v>
      </c>
      <c r="I53" s="129"/>
      <c r="J53" s="129"/>
      <c r="K53" s="129"/>
      <c r="L53" s="129"/>
      <c r="M53" s="129"/>
      <c r="N53" s="130"/>
      <c r="O53" s="130"/>
      <c r="P53" s="130"/>
      <c r="Q53" s="130"/>
      <c r="R53" s="130"/>
      <c r="S53" s="131"/>
      <c r="T53" s="130"/>
      <c r="U53" s="130"/>
      <c r="V53" s="130"/>
      <c r="W53" s="130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3"/>
      <c r="AN53" s="133"/>
      <c r="AO53" s="133"/>
      <c r="AP53" s="133"/>
      <c r="AQ53" s="133"/>
    </row>
    <row r="54" spans="2:43" ht="26" customHeight="1">
      <c r="B54" s="72" t="s">
        <v>159</v>
      </c>
      <c r="C54" s="73" t="s">
        <v>160</v>
      </c>
      <c r="D54" s="74" t="s">
        <v>161</v>
      </c>
      <c r="E54" s="75">
        <v>46274.125</v>
      </c>
      <c r="F54" s="75">
        <v>46276.125</v>
      </c>
      <c r="G54" s="76">
        <f t="shared" si="3"/>
        <v>3</v>
      </c>
      <c r="H54" s="77">
        <v>0</v>
      </c>
      <c r="I54" s="129"/>
      <c r="J54" s="129"/>
      <c r="K54" s="129"/>
      <c r="L54" s="129"/>
      <c r="M54" s="129"/>
      <c r="N54" s="130"/>
      <c r="O54" s="130"/>
      <c r="P54" s="130"/>
      <c r="Q54" s="130"/>
      <c r="R54" s="130"/>
      <c r="S54" s="131"/>
      <c r="T54" s="130"/>
      <c r="U54" s="130"/>
      <c r="V54" s="130"/>
      <c r="W54" s="130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3"/>
      <c r="AN54" s="133"/>
      <c r="AO54" s="133"/>
      <c r="AP54" s="133"/>
      <c r="AQ54" s="133"/>
    </row>
    <row r="55" spans="2:43" ht="22" customHeight="1">
      <c r="B55" s="83" t="s">
        <v>162</v>
      </c>
      <c r="C55" s="84" t="s">
        <v>163</v>
      </c>
      <c r="D55" s="78"/>
      <c r="E55" s="79"/>
      <c r="F55" s="79"/>
      <c r="G55" s="80"/>
      <c r="H55" s="81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</row>
    <row r="56" spans="2:43" ht="26" customHeight="1">
      <c r="B56" s="72" t="s">
        <v>164</v>
      </c>
      <c r="C56" s="73" t="s">
        <v>165</v>
      </c>
      <c r="D56" s="74" t="s">
        <v>125</v>
      </c>
      <c r="E56" s="75">
        <v>46272.125</v>
      </c>
      <c r="F56" s="75">
        <v>46274.125</v>
      </c>
      <c r="G56" s="76">
        <f t="shared" ref="G56:G67" si="4">NETWORKDAYS(E56,F56,$H$7)</f>
        <v>3</v>
      </c>
      <c r="H56" s="77">
        <v>0</v>
      </c>
      <c r="I56" s="129"/>
      <c r="J56" s="129"/>
      <c r="K56" s="129"/>
      <c r="L56" s="129"/>
      <c r="M56" s="129"/>
      <c r="N56" s="130"/>
      <c r="O56" s="130"/>
      <c r="P56" s="130"/>
      <c r="Q56" s="130"/>
      <c r="R56" s="130"/>
      <c r="S56" s="131"/>
      <c r="T56" s="130"/>
      <c r="U56" s="130"/>
      <c r="V56" s="130"/>
      <c r="W56" s="130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3"/>
      <c r="AN56" s="133"/>
      <c r="AO56" s="133"/>
      <c r="AP56" s="133"/>
      <c r="AQ56" s="133"/>
    </row>
    <row r="57" spans="2:43" ht="26" customHeight="1">
      <c r="B57" s="72" t="s">
        <v>166</v>
      </c>
      <c r="C57" s="73" t="s">
        <v>167</v>
      </c>
      <c r="D57" s="74" t="s">
        <v>71</v>
      </c>
      <c r="E57" s="75">
        <v>46274.125</v>
      </c>
      <c r="F57" s="75">
        <v>46279.125</v>
      </c>
      <c r="G57" s="76">
        <f t="shared" si="4"/>
        <v>4</v>
      </c>
      <c r="H57" s="77">
        <v>0</v>
      </c>
      <c r="I57" s="129"/>
      <c r="J57" s="129"/>
      <c r="K57" s="129"/>
      <c r="L57" s="129"/>
      <c r="M57" s="129"/>
      <c r="N57" s="130"/>
      <c r="O57" s="130"/>
      <c r="P57" s="130"/>
      <c r="Q57" s="130"/>
      <c r="R57" s="130"/>
      <c r="S57" s="131"/>
      <c r="T57" s="130"/>
      <c r="U57" s="130"/>
      <c r="V57" s="130"/>
      <c r="W57" s="130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3"/>
      <c r="AN57" s="133"/>
      <c r="AO57" s="133"/>
      <c r="AP57" s="133"/>
      <c r="AQ57" s="133"/>
    </row>
    <row r="58" spans="2:43" ht="26" customHeight="1">
      <c r="B58" s="72" t="s">
        <v>168</v>
      </c>
      <c r="C58" s="73" t="s">
        <v>169</v>
      </c>
      <c r="D58" s="74" t="s">
        <v>112</v>
      </c>
      <c r="E58" s="75">
        <v>46274.125</v>
      </c>
      <c r="F58" s="75">
        <v>46279.125</v>
      </c>
      <c r="G58" s="76">
        <f t="shared" si="4"/>
        <v>4</v>
      </c>
      <c r="H58" s="77">
        <v>0</v>
      </c>
      <c r="I58" s="129"/>
      <c r="J58" s="129"/>
      <c r="K58" s="129"/>
      <c r="L58" s="129"/>
      <c r="M58" s="129"/>
      <c r="N58" s="130"/>
      <c r="O58" s="130"/>
      <c r="P58" s="130"/>
      <c r="Q58" s="130"/>
      <c r="R58" s="130"/>
      <c r="S58" s="131"/>
      <c r="T58" s="130"/>
      <c r="U58" s="130"/>
      <c r="V58" s="130"/>
      <c r="W58" s="130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3"/>
      <c r="AN58" s="133"/>
      <c r="AO58" s="133"/>
      <c r="AP58" s="133"/>
      <c r="AQ58" s="133"/>
    </row>
    <row r="59" spans="2:43" ht="26" customHeight="1">
      <c r="B59" s="72" t="s">
        <v>170</v>
      </c>
      <c r="C59" s="73" t="s">
        <v>171</v>
      </c>
      <c r="D59" s="74" t="s">
        <v>97</v>
      </c>
      <c r="E59" s="75">
        <v>46275.125</v>
      </c>
      <c r="F59" s="75">
        <v>46279.125</v>
      </c>
      <c r="G59" s="76">
        <f t="shared" si="4"/>
        <v>3</v>
      </c>
      <c r="H59" s="77">
        <v>0</v>
      </c>
      <c r="I59" s="129"/>
      <c r="J59" s="129"/>
      <c r="K59" s="129"/>
      <c r="L59" s="129"/>
      <c r="M59" s="129"/>
      <c r="N59" s="130"/>
      <c r="O59" s="130"/>
      <c r="P59" s="130"/>
      <c r="Q59" s="130"/>
      <c r="R59" s="130"/>
      <c r="S59" s="131"/>
      <c r="T59" s="130"/>
      <c r="U59" s="130"/>
      <c r="V59" s="130"/>
      <c r="W59" s="130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3"/>
      <c r="AN59" s="133"/>
      <c r="AO59" s="133"/>
      <c r="AP59" s="133"/>
      <c r="AQ59" s="133"/>
    </row>
    <row r="60" spans="2:43" ht="26" customHeight="1">
      <c r="B60" s="72" t="s">
        <v>172</v>
      </c>
      <c r="C60" s="73" t="s">
        <v>173</v>
      </c>
      <c r="D60" s="74" t="s">
        <v>134</v>
      </c>
      <c r="E60" s="75">
        <v>46275.125</v>
      </c>
      <c r="F60" s="75">
        <v>46280.125</v>
      </c>
      <c r="G60" s="76">
        <f t="shared" si="4"/>
        <v>4</v>
      </c>
      <c r="H60" s="77">
        <v>0</v>
      </c>
      <c r="I60" s="129"/>
      <c r="J60" s="129"/>
      <c r="K60" s="129"/>
      <c r="L60" s="129"/>
      <c r="M60" s="129"/>
      <c r="N60" s="130"/>
      <c r="O60" s="130"/>
      <c r="P60" s="130"/>
      <c r="Q60" s="130"/>
      <c r="R60" s="130"/>
      <c r="S60" s="131"/>
      <c r="T60" s="130"/>
      <c r="U60" s="130"/>
      <c r="V60" s="130"/>
      <c r="W60" s="130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3"/>
      <c r="AN60" s="133"/>
      <c r="AO60" s="133"/>
      <c r="AP60" s="133"/>
      <c r="AQ60" s="133"/>
    </row>
    <row r="61" spans="2:43" ht="26" customHeight="1">
      <c r="B61" s="72" t="s">
        <v>174</v>
      </c>
      <c r="C61" s="73" t="s">
        <v>175</v>
      </c>
      <c r="D61" s="74" t="s">
        <v>71</v>
      </c>
      <c r="E61" s="75">
        <v>46276.125</v>
      </c>
      <c r="F61" s="75">
        <v>46281.125</v>
      </c>
      <c r="G61" s="76">
        <f t="shared" si="4"/>
        <v>4</v>
      </c>
      <c r="H61" s="77">
        <v>0</v>
      </c>
      <c r="I61" s="129"/>
      <c r="J61" s="129"/>
      <c r="K61" s="129"/>
      <c r="L61" s="129"/>
      <c r="M61" s="129"/>
      <c r="N61" s="130"/>
      <c r="O61" s="130"/>
      <c r="P61" s="130"/>
      <c r="Q61" s="130"/>
      <c r="R61" s="130"/>
      <c r="S61" s="131"/>
      <c r="T61" s="130"/>
      <c r="U61" s="130"/>
      <c r="V61" s="130"/>
      <c r="W61" s="130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3"/>
      <c r="AN61" s="133"/>
      <c r="AO61" s="133"/>
      <c r="AP61" s="133"/>
      <c r="AQ61" s="133"/>
    </row>
    <row r="62" spans="2:43" ht="26" customHeight="1">
      <c r="B62" s="72" t="s">
        <v>176</v>
      </c>
      <c r="C62" s="73" t="s">
        <v>177</v>
      </c>
      <c r="D62" s="74" t="s">
        <v>125</v>
      </c>
      <c r="E62" s="75">
        <v>46279.125</v>
      </c>
      <c r="F62" s="75">
        <v>46283.125</v>
      </c>
      <c r="G62" s="76">
        <f t="shared" si="4"/>
        <v>5</v>
      </c>
      <c r="H62" s="77">
        <v>0</v>
      </c>
      <c r="I62" s="129"/>
      <c r="J62" s="129"/>
      <c r="K62" s="129"/>
      <c r="L62" s="129"/>
      <c r="M62" s="129"/>
      <c r="N62" s="130"/>
      <c r="O62" s="130"/>
      <c r="P62" s="130"/>
      <c r="Q62" s="130"/>
      <c r="R62" s="130"/>
      <c r="S62" s="131"/>
      <c r="T62" s="130"/>
      <c r="U62" s="130"/>
      <c r="V62" s="130"/>
      <c r="W62" s="130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3"/>
      <c r="AN62" s="133"/>
      <c r="AO62" s="133"/>
      <c r="AP62" s="133"/>
      <c r="AQ62" s="133"/>
    </row>
    <row r="63" spans="2:43" ht="26" customHeight="1">
      <c r="B63" s="72" t="s">
        <v>178</v>
      </c>
      <c r="C63" s="73" t="s">
        <v>179</v>
      </c>
      <c r="D63" s="74" t="s">
        <v>71</v>
      </c>
      <c r="E63" s="75">
        <v>46279.125</v>
      </c>
      <c r="F63" s="75">
        <v>46282.125</v>
      </c>
      <c r="G63" s="76">
        <f t="shared" si="4"/>
        <v>4</v>
      </c>
      <c r="H63" s="77">
        <v>0</v>
      </c>
      <c r="I63" s="129"/>
      <c r="J63" s="129"/>
      <c r="K63" s="129"/>
      <c r="L63" s="129"/>
      <c r="M63" s="129"/>
      <c r="N63" s="130"/>
      <c r="O63" s="130"/>
      <c r="P63" s="130"/>
      <c r="Q63" s="130"/>
      <c r="R63" s="130"/>
      <c r="S63" s="131"/>
      <c r="T63" s="130"/>
      <c r="U63" s="130"/>
      <c r="V63" s="130"/>
      <c r="W63" s="130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3"/>
      <c r="AN63" s="133"/>
      <c r="AO63" s="133"/>
      <c r="AP63" s="133"/>
      <c r="AQ63" s="133"/>
    </row>
    <row r="64" spans="2:43" ht="26" customHeight="1">
      <c r="B64" s="72" t="s">
        <v>180</v>
      </c>
      <c r="C64" s="73" t="s">
        <v>181</v>
      </c>
      <c r="D64" s="74" t="s">
        <v>71</v>
      </c>
      <c r="E64" s="75">
        <v>46279.125</v>
      </c>
      <c r="F64" s="75">
        <v>46282.125</v>
      </c>
      <c r="G64" s="76">
        <f t="shared" si="4"/>
        <v>4</v>
      </c>
      <c r="H64" s="77">
        <v>0</v>
      </c>
      <c r="I64" s="129"/>
      <c r="J64" s="129"/>
      <c r="K64" s="129"/>
      <c r="L64" s="129"/>
      <c r="M64" s="129"/>
      <c r="N64" s="130"/>
      <c r="O64" s="130"/>
      <c r="P64" s="130"/>
      <c r="Q64" s="130"/>
      <c r="R64" s="130"/>
      <c r="S64" s="131"/>
      <c r="T64" s="130"/>
      <c r="U64" s="130"/>
      <c r="V64" s="130"/>
      <c r="W64" s="130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3"/>
      <c r="AN64" s="133"/>
      <c r="AO64" s="133"/>
      <c r="AP64" s="133"/>
      <c r="AQ64" s="133"/>
    </row>
    <row r="65" spans="2:43" ht="26" customHeight="1">
      <c r="B65" s="72" t="s">
        <v>182</v>
      </c>
      <c r="C65" s="73" t="s">
        <v>183</v>
      </c>
      <c r="D65" s="74" t="s">
        <v>71</v>
      </c>
      <c r="E65" s="75">
        <v>46280.125</v>
      </c>
      <c r="F65" s="75">
        <v>46282.125</v>
      </c>
      <c r="G65" s="76">
        <f t="shared" si="4"/>
        <v>3</v>
      </c>
      <c r="H65" s="77">
        <v>0</v>
      </c>
      <c r="I65" s="129"/>
      <c r="J65" s="129"/>
      <c r="K65" s="129"/>
      <c r="L65" s="129"/>
      <c r="M65" s="129"/>
      <c r="N65" s="130"/>
      <c r="O65" s="130"/>
      <c r="P65" s="130"/>
      <c r="Q65" s="130"/>
      <c r="R65" s="130"/>
      <c r="S65" s="131"/>
      <c r="T65" s="130"/>
      <c r="U65" s="130"/>
      <c r="V65" s="130"/>
      <c r="W65" s="130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3"/>
      <c r="AN65" s="133"/>
      <c r="AO65" s="133"/>
      <c r="AP65" s="133"/>
      <c r="AQ65" s="133"/>
    </row>
    <row r="66" spans="2:43" ht="26" customHeight="1">
      <c r="B66" s="72" t="s">
        <v>184</v>
      </c>
      <c r="C66" s="73" t="s">
        <v>185</v>
      </c>
      <c r="D66" s="74" t="s">
        <v>71</v>
      </c>
      <c r="E66" s="75">
        <v>46282.125</v>
      </c>
      <c r="F66" s="75">
        <v>46282.125</v>
      </c>
      <c r="G66" s="76">
        <f t="shared" si="4"/>
        <v>1</v>
      </c>
      <c r="H66" s="77">
        <v>0</v>
      </c>
      <c r="I66" s="129"/>
      <c r="J66" s="129"/>
      <c r="K66" s="129"/>
      <c r="L66" s="129"/>
      <c r="M66" s="129"/>
      <c r="N66" s="130"/>
      <c r="O66" s="130"/>
      <c r="P66" s="130"/>
      <c r="Q66" s="130"/>
      <c r="R66" s="130"/>
      <c r="S66" s="131"/>
      <c r="T66" s="130"/>
      <c r="U66" s="130"/>
      <c r="V66" s="130"/>
      <c r="W66" s="130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3"/>
      <c r="AN66" s="133"/>
      <c r="AO66" s="133"/>
      <c r="AP66" s="133"/>
      <c r="AQ66" s="133"/>
    </row>
    <row r="67" spans="2:43" ht="26" customHeight="1">
      <c r="B67" s="72" t="s">
        <v>186</v>
      </c>
      <c r="C67" s="73" t="s">
        <v>187</v>
      </c>
      <c r="D67" s="74" t="s">
        <v>188</v>
      </c>
      <c r="E67" s="75">
        <v>46283.125</v>
      </c>
      <c r="F67" s="75">
        <v>46283.125</v>
      </c>
      <c r="G67" s="76">
        <f t="shared" si="4"/>
        <v>1</v>
      </c>
      <c r="H67" s="77">
        <v>0</v>
      </c>
      <c r="I67" s="129"/>
      <c r="J67" s="129"/>
      <c r="K67" s="129"/>
      <c r="L67" s="129"/>
      <c r="M67" s="129"/>
      <c r="N67" s="130"/>
      <c r="O67" s="130"/>
      <c r="P67" s="130"/>
      <c r="Q67" s="130"/>
      <c r="R67" s="130"/>
      <c r="S67" s="131"/>
      <c r="T67" s="130"/>
      <c r="U67" s="130"/>
      <c r="V67" s="130"/>
      <c r="W67" s="130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3"/>
      <c r="AN67" s="133"/>
      <c r="AO67" s="133"/>
      <c r="AP67" s="133"/>
      <c r="AQ67" s="133"/>
    </row>
    <row r="69" spans="2:43" ht="22" customHeight="1">
      <c r="B69" s="172" t="s">
        <v>189</v>
      </c>
      <c r="C69" s="173" t="s">
        <v>189</v>
      </c>
      <c r="D69" s="173" t="s">
        <v>189</v>
      </c>
      <c r="E69" s="173" t="s">
        <v>189</v>
      </c>
      <c r="F69" s="173" t="s">
        <v>189</v>
      </c>
      <c r="G69" s="173" t="s">
        <v>189</v>
      </c>
      <c r="H69" s="173" t="s">
        <v>189</v>
      </c>
      <c r="I69" s="173" t="s">
        <v>189</v>
      </c>
      <c r="J69" s="173" t="s">
        <v>189</v>
      </c>
      <c r="K69" s="173" t="s">
        <v>189</v>
      </c>
      <c r="L69" s="173" t="s">
        <v>189</v>
      </c>
      <c r="M69" s="173" t="s">
        <v>189</v>
      </c>
      <c r="N69" s="173" t="s">
        <v>189</v>
      </c>
      <c r="O69" s="173" t="s">
        <v>189</v>
      </c>
      <c r="P69" s="173" t="s">
        <v>189</v>
      </c>
      <c r="Q69" s="173" t="s">
        <v>189</v>
      </c>
      <c r="R69" s="173" t="s">
        <v>189</v>
      </c>
      <c r="S69" s="173" t="s">
        <v>189</v>
      </c>
      <c r="T69" s="173" t="s">
        <v>189</v>
      </c>
      <c r="U69" s="173" t="s">
        <v>189</v>
      </c>
      <c r="V69" s="173" t="s">
        <v>189</v>
      </c>
      <c r="W69" s="173" t="s">
        <v>189</v>
      </c>
      <c r="X69" s="173" t="s">
        <v>189</v>
      </c>
      <c r="Y69" s="173" t="s">
        <v>189</v>
      </c>
      <c r="Z69" s="173" t="s">
        <v>189</v>
      </c>
      <c r="AA69" s="173" t="s">
        <v>189</v>
      </c>
      <c r="AB69" s="173" t="s">
        <v>189</v>
      </c>
      <c r="AC69" s="173" t="s">
        <v>189</v>
      </c>
      <c r="AD69" s="173" t="s">
        <v>189</v>
      </c>
      <c r="AE69" s="173" t="s">
        <v>189</v>
      </c>
      <c r="AF69" s="173" t="s">
        <v>189</v>
      </c>
      <c r="AG69" s="173" t="s">
        <v>189</v>
      </c>
      <c r="AH69" s="173" t="s">
        <v>189</v>
      </c>
      <c r="AI69" s="173" t="s">
        <v>189</v>
      </c>
      <c r="AJ69" s="173" t="s">
        <v>189</v>
      </c>
      <c r="AK69" s="173" t="s">
        <v>189</v>
      </c>
      <c r="AL69" s="173" t="s">
        <v>189</v>
      </c>
      <c r="AM69" s="173" t="s">
        <v>189</v>
      </c>
      <c r="AN69" s="173" t="s">
        <v>189</v>
      </c>
      <c r="AO69" s="173" t="s">
        <v>189</v>
      </c>
      <c r="AP69" s="173" t="s">
        <v>189</v>
      </c>
      <c r="AQ69" s="174" t="s">
        <v>189</v>
      </c>
    </row>
    <row r="70" spans="2:43" ht="26" customHeight="1">
      <c r="B70" s="154" t="s">
        <v>190</v>
      </c>
      <c r="C70" s="155" t="s">
        <v>190</v>
      </c>
      <c r="D70" s="155" t="s">
        <v>190</v>
      </c>
      <c r="E70" s="155" t="s">
        <v>190</v>
      </c>
      <c r="F70" s="155" t="s">
        <v>190</v>
      </c>
      <c r="G70" s="155" t="s">
        <v>190</v>
      </c>
      <c r="H70" s="155" t="s">
        <v>190</v>
      </c>
      <c r="I70" s="155" t="s">
        <v>190</v>
      </c>
      <c r="J70" s="155" t="s">
        <v>190</v>
      </c>
      <c r="K70" s="155" t="s">
        <v>190</v>
      </c>
      <c r="L70" s="155" t="s">
        <v>190</v>
      </c>
      <c r="M70" s="155" t="s">
        <v>190</v>
      </c>
      <c r="N70" s="155" t="s">
        <v>190</v>
      </c>
      <c r="O70" s="155" t="s">
        <v>190</v>
      </c>
      <c r="P70" s="155" t="s">
        <v>190</v>
      </c>
      <c r="Q70" s="155" t="s">
        <v>190</v>
      </c>
      <c r="R70" s="155" t="s">
        <v>190</v>
      </c>
      <c r="S70" s="155" t="s">
        <v>190</v>
      </c>
      <c r="T70" s="155" t="s">
        <v>190</v>
      </c>
      <c r="U70" s="155" t="s">
        <v>190</v>
      </c>
      <c r="V70" s="155" t="s">
        <v>190</v>
      </c>
      <c r="W70" s="155" t="s">
        <v>190</v>
      </c>
      <c r="X70" s="155" t="s">
        <v>190</v>
      </c>
      <c r="Y70" s="155" t="s">
        <v>190</v>
      </c>
      <c r="Z70" s="155" t="s">
        <v>190</v>
      </c>
      <c r="AA70" s="155" t="s">
        <v>190</v>
      </c>
      <c r="AB70" s="155" t="s">
        <v>190</v>
      </c>
      <c r="AC70" s="155" t="s">
        <v>190</v>
      </c>
      <c r="AD70" s="155" t="s">
        <v>190</v>
      </c>
      <c r="AE70" s="155" t="s">
        <v>190</v>
      </c>
      <c r="AF70" s="155" t="s">
        <v>190</v>
      </c>
      <c r="AG70" s="155" t="s">
        <v>190</v>
      </c>
      <c r="AH70" s="155" t="s">
        <v>190</v>
      </c>
      <c r="AI70" s="155" t="s">
        <v>190</v>
      </c>
      <c r="AJ70" s="155" t="s">
        <v>190</v>
      </c>
      <c r="AK70" s="155" t="s">
        <v>190</v>
      </c>
      <c r="AL70" s="155" t="s">
        <v>190</v>
      </c>
      <c r="AM70" s="155" t="s">
        <v>190</v>
      </c>
      <c r="AN70" s="155" t="s">
        <v>190</v>
      </c>
      <c r="AO70" s="155" t="s">
        <v>190</v>
      </c>
      <c r="AP70" s="155" t="s">
        <v>190</v>
      </c>
      <c r="AQ70" s="156" t="s">
        <v>190</v>
      </c>
    </row>
    <row r="71" spans="2:43" ht="26" customHeight="1">
      <c r="B71" s="154" t="s">
        <v>191</v>
      </c>
      <c r="C71" s="155" t="s">
        <v>191</v>
      </c>
      <c r="D71" s="155" t="s">
        <v>191</v>
      </c>
      <c r="E71" s="155" t="s">
        <v>191</v>
      </c>
      <c r="F71" s="155" t="s">
        <v>191</v>
      </c>
      <c r="G71" s="155" t="s">
        <v>191</v>
      </c>
      <c r="H71" s="155" t="s">
        <v>191</v>
      </c>
      <c r="I71" s="155" t="s">
        <v>191</v>
      </c>
      <c r="J71" s="155" t="s">
        <v>191</v>
      </c>
      <c r="K71" s="155" t="s">
        <v>191</v>
      </c>
      <c r="L71" s="155" t="s">
        <v>191</v>
      </c>
      <c r="M71" s="155" t="s">
        <v>191</v>
      </c>
      <c r="N71" s="155" t="s">
        <v>191</v>
      </c>
      <c r="O71" s="155" t="s">
        <v>191</v>
      </c>
      <c r="P71" s="155" t="s">
        <v>191</v>
      </c>
      <c r="Q71" s="155" t="s">
        <v>191</v>
      </c>
      <c r="R71" s="155" t="s">
        <v>191</v>
      </c>
      <c r="S71" s="155" t="s">
        <v>191</v>
      </c>
      <c r="T71" s="155" t="s">
        <v>191</v>
      </c>
      <c r="U71" s="155" t="s">
        <v>191</v>
      </c>
      <c r="V71" s="155" t="s">
        <v>191</v>
      </c>
      <c r="W71" s="155" t="s">
        <v>191</v>
      </c>
      <c r="X71" s="155" t="s">
        <v>191</v>
      </c>
      <c r="Y71" s="155" t="s">
        <v>191</v>
      </c>
      <c r="Z71" s="155" t="s">
        <v>191</v>
      </c>
      <c r="AA71" s="155" t="s">
        <v>191</v>
      </c>
      <c r="AB71" s="155" t="s">
        <v>191</v>
      </c>
      <c r="AC71" s="155" t="s">
        <v>191</v>
      </c>
      <c r="AD71" s="155" t="s">
        <v>191</v>
      </c>
      <c r="AE71" s="155" t="s">
        <v>191</v>
      </c>
      <c r="AF71" s="155" t="s">
        <v>191</v>
      </c>
      <c r="AG71" s="155" t="s">
        <v>191</v>
      </c>
      <c r="AH71" s="155" t="s">
        <v>191</v>
      </c>
      <c r="AI71" s="155" t="s">
        <v>191</v>
      </c>
      <c r="AJ71" s="155" t="s">
        <v>191</v>
      </c>
      <c r="AK71" s="155" t="s">
        <v>191</v>
      </c>
      <c r="AL71" s="155" t="s">
        <v>191</v>
      </c>
      <c r="AM71" s="155" t="s">
        <v>191</v>
      </c>
      <c r="AN71" s="155" t="s">
        <v>191</v>
      </c>
      <c r="AO71" s="155" t="s">
        <v>191</v>
      </c>
      <c r="AP71" s="155" t="s">
        <v>191</v>
      </c>
      <c r="AQ71" s="156" t="s">
        <v>191</v>
      </c>
    </row>
    <row r="72" spans="2:43" ht="26" customHeight="1">
      <c r="B72" s="175" t="s">
        <v>195</v>
      </c>
      <c r="C72" s="155" t="s">
        <v>192</v>
      </c>
      <c r="D72" s="155" t="s">
        <v>192</v>
      </c>
      <c r="E72" s="155" t="s">
        <v>192</v>
      </c>
      <c r="F72" s="155" t="s">
        <v>192</v>
      </c>
      <c r="G72" s="155" t="s">
        <v>192</v>
      </c>
      <c r="H72" s="155" t="s">
        <v>192</v>
      </c>
      <c r="I72" s="155" t="s">
        <v>192</v>
      </c>
      <c r="J72" s="155" t="s">
        <v>192</v>
      </c>
      <c r="K72" s="155" t="s">
        <v>192</v>
      </c>
      <c r="L72" s="155" t="s">
        <v>192</v>
      </c>
      <c r="M72" s="155" t="s">
        <v>192</v>
      </c>
      <c r="N72" s="155" t="s">
        <v>192</v>
      </c>
      <c r="O72" s="155" t="s">
        <v>192</v>
      </c>
      <c r="P72" s="155" t="s">
        <v>192</v>
      </c>
      <c r="Q72" s="155" t="s">
        <v>192</v>
      </c>
      <c r="R72" s="155" t="s">
        <v>192</v>
      </c>
      <c r="S72" s="155" t="s">
        <v>192</v>
      </c>
      <c r="T72" s="155" t="s">
        <v>192</v>
      </c>
      <c r="U72" s="155" t="s">
        <v>192</v>
      </c>
      <c r="V72" s="155" t="s">
        <v>192</v>
      </c>
      <c r="W72" s="155" t="s">
        <v>192</v>
      </c>
      <c r="X72" s="155" t="s">
        <v>192</v>
      </c>
      <c r="Y72" s="155" t="s">
        <v>192</v>
      </c>
      <c r="Z72" s="155" t="s">
        <v>192</v>
      </c>
      <c r="AA72" s="155" t="s">
        <v>192</v>
      </c>
      <c r="AB72" s="155" t="s">
        <v>192</v>
      </c>
      <c r="AC72" s="155" t="s">
        <v>192</v>
      </c>
      <c r="AD72" s="155" t="s">
        <v>192</v>
      </c>
      <c r="AE72" s="155" t="s">
        <v>192</v>
      </c>
      <c r="AF72" s="155" t="s">
        <v>192</v>
      </c>
      <c r="AG72" s="155" t="s">
        <v>192</v>
      </c>
      <c r="AH72" s="155" t="s">
        <v>192</v>
      </c>
      <c r="AI72" s="155" t="s">
        <v>192</v>
      </c>
      <c r="AJ72" s="155" t="s">
        <v>192</v>
      </c>
      <c r="AK72" s="155" t="s">
        <v>192</v>
      </c>
      <c r="AL72" s="155" t="s">
        <v>192</v>
      </c>
      <c r="AM72" s="155" t="s">
        <v>192</v>
      </c>
      <c r="AN72" s="155" t="s">
        <v>192</v>
      </c>
      <c r="AO72" s="155" t="s">
        <v>192</v>
      </c>
      <c r="AP72" s="155" t="s">
        <v>192</v>
      </c>
      <c r="AQ72" s="156" t="s">
        <v>192</v>
      </c>
    </row>
    <row r="73" spans="2:43" ht="26" customHeight="1">
      <c r="B73" s="154" t="s">
        <v>193</v>
      </c>
      <c r="C73" s="155" t="s">
        <v>193</v>
      </c>
      <c r="D73" s="155" t="s">
        <v>193</v>
      </c>
      <c r="E73" s="155" t="s">
        <v>193</v>
      </c>
      <c r="F73" s="155" t="s">
        <v>193</v>
      </c>
      <c r="G73" s="155" t="s">
        <v>193</v>
      </c>
      <c r="H73" s="155" t="s">
        <v>193</v>
      </c>
      <c r="I73" s="155" t="s">
        <v>193</v>
      </c>
      <c r="J73" s="155" t="s">
        <v>193</v>
      </c>
      <c r="K73" s="155" t="s">
        <v>193</v>
      </c>
      <c r="L73" s="155" t="s">
        <v>193</v>
      </c>
      <c r="M73" s="155" t="s">
        <v>193</v>
      </c>
      <c r="N73" s="155" t="s">
        <v>193</v>
      </c>
      <c r="O73" s="155" t="s">
        <v>193</v>
      </c>
      <c r="P73" s="155" t="s">
        <v>193</v>
      </c>
      <c r="Q73" s="155" t="s">
        <v>193</v>
      </c>
      <c r="R73" s="155" t="s">
        <v>193</v>
      </c>
      <c r="S73" s="155" t="s">
        <v>193</v>
      </c>
      <c r="T73" s="155" t="s">
        <v>193</v>
      </c>
      <c r="U73" s="155" t="s">
        <v>193</v>
      </c>
      <c r="V73" s="155" t="s">
        <v>193</v>
      </c>
      <c r="W73" s="155" t="s">
        <v>193</v>
      </c>
      <c r="X73" s="155" t="s">
        <v>193</v>
      </c>
      <c r="Y73" s="155" t="s">
        <v>193</v>
      </c>
      <c r="Z73" s="155" t="s">
        <v>193</v>
      </c>
      <c r="AA73" s="155" t="s">
        <v>193</v>
      </c>
      <c r="AB73" s="155" t="s">
        <v>193</v>
      </c>
      <c r="AC73" s="155" t="s">
        <v>193</v>
      </c>
      <c r="AD73" s="155" t="s">
        <v>193</v>
      </c>
      <c r="AE73" s="155" t="s">
        <v>193</v>
      </c>
      <c r="AF73" s="155" t="s">
        <v>193</v>
      </c>
      <c r="AG73" s="155" t="s">
        <v>193</v>
      </c>
      <c r="AH73" s="155" t="s">
        <v>193</v>
      </c>
      <c r="AI73" s="155" t="s">
        <v>193</v>
      </c>
      <c r="AJ73" s="155" t="s">
        <v>193</v>
      </c>
      <c r="AK73" s="155" t="s">
        <v>193</v>
      </c>
      <c r="AL73" s="155" t="s">
        <v>193</v>
      </c>
      <c r="AM73" s="155" t="s">
        <v>193</v>
      </c>
      <c r="AN73" s="155" t="s">
        <v>193</v>
      </c>
      <c r="AO73" s="155" t="s">
        <v>193</v>
      </c>
      <c r="AP73" s="155" t="s">
        <v>193</v>
      </c>
      <c r="AQ73" s="156" t="s">
        <v>193</v>
      </c>
    </row>
  </sheetData>
  <mergeCells count="35">
    <mergeCell ref="P5:AG5"/>
    <mergeCell ref="B69:AQ69"/>
    <mergeCell ref="B70:AQ70"/>
    <mergeCell ref="B71:AQ71"/>
    <mergeCell ref="B72:AQ72"/>
    <mergeCell ref="B5:C5"/>
    <mergeCell ref="D5:G5"/>
    <mergeCell ref="I8:M8"/>
    <mergeCell ref="N8:W8"/>
    <mergeCell ref="X8:AL8"/>
    <mergeCell ref="H5:O5"/>
    <mergeCell ref="B73:AQ73"/>
    <mergeCell ref="AM8:AQ8"/>
    <mergeCell ref="I9:M9"/>
    <mergeCell ref="N9:R9"/>
    <mergeCell ref="S9:W9"/>
    <mergeCell ref="X9:AB9"/>
    <mergeCell ref="AC9:AG9"/>
    <mergeCell ref="AH9:AL9"/>
    <mergeCell ref="AM9:AQ9"/>
    <mergeCell ref="B8:B10"/>
    <mergeCell ref="C8:C10"/>
    <mergeCell ref="D8:D10"/>
    <mergeCell ref="E8:E10"/>
    <mergeCell ref="F8:F10"/>
    <mergeCell ref="G8:G10"/>
    <mergeCell ref="H8:H10"/>
    <mergeCell ref="B2:G2"/>
    <mergeCell ref="I2:N2"/>
    <mergeCell ref="O2:AG2"/>
    <mergeCell ref="B4:C4"/>
    <mergeCell ref="D4:G4"/>
    <mergeCell ref="H4:O4"/>
    <mergeCell ref="P4:AG4"/>
    <mergeCell ref="A3:XFD3"/>
  </mergeCells>
  <phoneticPr fontId="25" type="noConversion"/>
  <conditionalFormatting sqref="H11:H67">
    <cfRule type="expression" dxfId="6" priority="3">
      <formula>H11=1</formula>
    </cfRule>
    <cfRule type="expression" dxfId="5" priority="4">
      <formula>AND(H11&gt;0,H11&lt;1)</formula>
    </cfRule>
  </conditionalFormatting>
  <conditionalFormatting sqref="H12:H18 H20:H3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conditionalFormatting sqref="I12:AQ18">
    <cfRule type="expression" dxfId="4" priority="5">
      <formula>AND(I$7&gt;=$E12,I$7&lt;=$F12)</formula>
    </cfRule>
  </conditionalFormatting>
  <conditionalFormatting sqref="I20:AQ31">
    <cfRule type="expression" dxfId="3" priority="6">
      <formula>AND(I$7&gt;=$E20,I$7&lt;=$F20)</formula>
    </cfRule>
  </conditionalFormatting>
  <conditionalFormatting sqref="I33:AQ41">
    <cfRule type="expression" dxfId="2" priority="7">
      <formula>AND(I$7&gt;=$E33,I$7&lt;=$F33)</formula>
    </cfRule>
  </conditionalFormatting>
  <conditionalFormatting sqref="I43:AQ54">
    <cfRule type="expression" dxfId="1" priority="8">
      <formula>AND(I$7&gt;=$E43,I$7&lt;=$F43)</formula>
    </cfRule>
  </conditionalFormatting>
  <conditionalFormatting sqref="I56:AQ67">
    <cfRule type="expression" dxfId="0" priority="9">
      <formula>AND(I$7&gt;=$E56,I$7&lt;=$F56)</formula>
    </cfRule>
  </conditionalFormatting>
  <dataValidations disablePrompts="1" count="1">
    <dataValidation type="list" sqref="D12:D18 D56:D67 D43:D54 D33:D41 D20:D31" xr:uid="{00000000-0002-0000-0000-000000000000}">
      <formula1>"기획PM,백엔드,프론트엔드,기술리드,4인 공동,기획PM/기술리드,백엔드/기획PM,백엔드/기술리드,기술리드/백엔드,기술리드/기획PM,프론트엔드/기획PM,프론트엔드/백엔드,프론트엔드/기술리드,기술리드/백엔드/프론트엔드,백엔드/기술리드/프론트엔드,기획PM/4인 공동"</formula1>
    </dataValidation>
  </dataValidations>
  <pageMargins left="0.7" right="0.7" top="0.75" bottom="0.75" header="0.3" footer="0.3"/>
  <pageSetup paperSize="9" scale="46" pageOrder="overThenDown" orientation="landscape" horizontalDpi="0" verticalDpi="0"/>
  <rowBreaks count="1" manualBreakCount="1">
    <brk id="41" max="45" man="1"/>
  </rowBreaks>
  <colBreaks count="1" manualBreakCount="1">
    <brk id="4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5163-C58C-9446-88D0-B878EE57BD0D}">
  <dimension ref="A1:G39"/>
  <sheetViews>
    <sheetView workbookViewId="0">
      <selection sqref="A1:G1"/>
    </sheetView>
  </sheetViews>
  <sheetFormatPr baseColWidth="10" defaultRowHeight="13"/>
  <cols>
    <col min="2" max="2" width="21.1640625" customWidth="1"/>
    <col min="3" max="3" width="17" customWidth="1"/>
    <col min="4" max="4" width="17.5" customWidth="1"/>
    <col min="5" max="5" width="16.6640625" customWidth="1"/>
    <col min="7" max="7" width="72.83203125" customWidth="1"/>
  </cols>
  <sheetData>
    <row r="1" spans="1:7" ht="43" customHeight="1">
      <c r="A1" s="189" t="s">
        <v>412</v>
      </c>
      <c r="B1" s="190" t="s">
        <v>196</v>
      </c>
      <c r="C1" s="190" t="s">
        <v>196</v>
      </c>
      <c r="D1" s="190" t="s">
        <v>196</v>
      </c>
      <c r="E1" s="190" t="s">
        <v>196</v>
      </c>
      <c r="F1" s="190" t="s">
        <v>196</v>
      </c>
      <c r="G1" s="190" t="s">
        <v>196</v>
      </c>
    </row>
    <row r="2" spans="1:7" ht="19" customHeight="1">
      <c r="A2" s="191" t="s">
        <v>197</v>
      </c>
      <c r="B2" s="191" t="s">
        <v>197</v>
      </c>
      <c r="C2" s="191" t="s">
        <v>197</v>
      </c>
      <c r="D2" s="191" t="s">
        <v>197</v>
      </c>
      <c r="E2" s="191" t="s">
        <v>197</v>
      </c>
      <c r="F2" s="191" t="s">
        <v>197</v>
      </c>
      <c r="G2" s="191" t="s">
        <v>197</v>
      </c>
    </row>
    <row r="4" spans="1:7" ht="24" customHeight="1">
      <c r="A4" s="138" t="s">
        <v>198</v>
      </c>
      <c r="B4" s="138" t="s">
        <v>199</v>
      </c>
      <c r="C4" s="138" t="s">
        <v>200</v>
      </c>
      <c r="D4" s="138" t="s">
        <v>201</v>
      </c>
      <c r="E4" s="138" t="s">
        <v>202</v>
      </c>
      <c r="F4" s="138" t="s">
        <v>203</v>
      </c>
      <c r="G4" s="138" t="s">
        <v>204</v>
      </c>
    </row>
    <row r="5" spans="1:7" ht="35" customHeight="1">
      <c r="A5" s="139" t="s">
        <v>205</v>
      </c>
      <c r="B5" s="139" t="s">
        <v>206</v>
      </c>
      <c r="C5" s="139" t="s">
        <v>207</v>
      </c>
      <c r="D5" s="139" t="s">
        <v>208</v>
      </c>
      <c r="E5" s="139" t="s">
        <v>209</v>
      </c>
      <c r="F5" s="139" t="s">
        <v>210</v>
      </c>
      <c r="G5" s="140" t="s">
        <v>211</v>
      </c>
    </row>
    <row r="6" spans="1:7" ht="35" customHeight="1">
      <c r="A6" s="139" t="s">
        <v>212</v>
      </c>
      <c r="B6" s="139" t="s">
        <v>213</v>
      </c>
      <c r="C6" s="139" t="s">
        <v>214</v>
      </c>
      <c r="D6" s="139" t="s">
        <v>215</v>
      </c>
      <c r="E6" s="139" t="s">
        <v>216</v>
      </c>
      <c r="F6" s="139" t="s">
        <v>210</v>
      </c>
      <c r="G6" s="140" t="s">
        <v>217</v>
      </c>
    </row>
    <row r="7" spans="1:7" ht="35" customHeight="1">
      <c r="A7" s="139" t="s">
        <v>218</v>
      </c>
      <c r="B7" s="139" t="s">
        <v>219</v>
      </c>
      <c r="C7" s="139" t="s">
        <v>220</v>
      </c>
      <c r="D7" s="139" t="s">
        <v>221</v>
      </c>
      <c r="E7" s="139" t="s">
        <v>222</v>
      </c>
      <c r="F7" s="139" t="s">
        <v>223</v>
      </c>
      <c r="G7" s="140" t="s">
        <v>224</v>
      </c>
    </row>
    <row r="8" spans="1:7" ht="35" customHeight="1">
      <c r="A8" s="139" t="s">
        <v>225</v>
      </c>
      <c r="B8" s="139" t="s">
        <v>226</v>
      </c>
      <c r="C8" s="139" t="s">
        <v>227</v>
      </c>
      <c r="D8" s="139" t="s">
        <v>228</v>
      </c>
      <c r="E8" s="139" t="s">
        <v>229</v>
      </c>
      <c r="F8" s="139" t="s">
        <v>210</v>
      </c>
      <c r="G8" s="140" t="s">
        <v>230</v>
      </c>
    </row>
    <row r="9" spans="1:7" ht="35" customHeight="1">
      <c r="A9" s="139" t="s">
        <v>231</v>
      </c>
      <c r="B9" s="139" t="s">
        <v>232</v>
      </c>
      <c r="C9" s="139" t="s">
        <v>233</v>
      </c>
      <c r="D9" s="139" t="s">
        <v>234</v>
      </c>
      <c r="E9" s="139" t="s">
        <v>235</v>
      </c>
      <c r="F9" s="139" t="s">
        <v>210</v>
      </c>
      <c r="G9" s="140" t="s">
        <v>236</v>
      </c>
    </row>
    <row r="10" spans="1:7" ht="35" customHeight="1">
      <c r="A10" s="139" t="s">
        <v>237</v>
      </c>
      <c r="B10" s="139" t="s">
        <v>238</v>
      </c>
      <c r="C10" s="139" t="s">
        <v>239</v>
      </c>
      <c r="D10" s="139" t="s">
        <v>240</v>
      </c>
      <c r="E10" s="139" t="s">
        <v>241</v>
      </c>
      <c r="F10" s="139" t="s">
        <v>242</v>
      </c>
      <c r="G10" s="140" t="s">
        <v>243</v>
      </c>
    </row>
    <row r="11" spans="1:7" ht="35" customHeight="1">
      <c r="A11" s="139" t="s">
        <v>244</v>
      </c>
      <c r="B11" s="139" t="s">
        <v>245</v>
      </c>
      <c r="C11" s="139" t="s">
        <v>246</v>
      </c>
      <c r="D11" s="139" t="s">
        <v>247</v>
      </c>
      <c r="E11" s="139" t="s">
        <v>248</v>
      </c>
      <c r="F11" s="139" t="s">
        <v>210</v>
      </c>
      <c r="G11" s="140" t="s">
        <v>249</v>
      </c>
    </row>
    <row r="12" spans="1:7" ht="35" customHeight="1">
      <c r="A12" s="139" t="s">
        <v>250</v>
      </c>
      <c r="B12" s="139" t="s">
        <v>251</v>
      </c>
      <c r="C12" s="139" t="s">
        <v>252</v>
      </c>
      <c r="D12" s="139" t="s">
        <v>253</v>
      </c>
      <c r="E12" s="139" t="s">
        <v>254</v>
      </c>
      <c r="F12" s="139" t="s">
        <v>210</v>
      </c>
      <c r="G12" s="140" t="s">
        <v>255</v>
      </c>
    </row>
    <row r="13" spans="1:7" ht="35" customHeight="1">
      <c r="A13" s="139" t="s">
        <v>256</v>
      </c>
      <c r="B13" s="139" t="s">
        <v>257</v>
      </c>
      <c r="C13" s="139" t="s">
        <v>258</v>
      </c>
      <c r="D13" s="139" t="s">
        <v>259</v>
      </c>
      <c r="E13" s="139" t="s">
        <v>260</v>
      </c>
      <c r="F13" s="139" t="s">
        <v>210</v>
      </c>
      <c r="G13" s="140" t="s">
        <v>261</v>
      </c>
    </row>
    <row r="14" spans="1:7" ht="35" customHeight="1">
      <c r="A14" s="139" t="s">
        <v>262</v>
      </c>
      <c r="B14" s="139" t="s">
        <v>263</v>
      </c>
      <c r="C14" s="139" t="s">
        <v>264</v>
      </c>
      <c r="D14" s="139" t="s">
        <v>265</v>
      </c>
      <c r="E14" s="139" t="s">
        <v>266</v>
      </c>
      <c r="F14" s="139" t="s">
        <v>210</v>
      </c>
      <c r="G14" s="140" t="s">
        <v>267</v>
      </c>
    </row>
    <row r="15" spans="1:7" ht="35" customHeight="1">
      <c r="A15" s="139" t="s">
        <v>268</v>
      </c>
      <c r="B15" s="139" t="s">
        <v>269</v>
      </c>
      <c r="C15" s="139" t="s">
        <v>270</v>
      </c>
      <c r="D15" s="139" t="s">
        <v>271</v>
      </c>
      <c r="E15" s="139" t="s">
        <v>272</v>
      </c>
      <c r="F15" s="139" t="s">
        <v>210</v>
      </c>
      <c r="G15" s="140" t="s">
        <v>273</v>
      </c>
    </row>
    <row r="16" spans="1:7" ht="35" customHeight="1">
      <c r="A16" s="139" t="s">
        <v>274</v>
      </c>
      <c r="B16" s="139" t="s">
        <v>275</v>
      </c>
      <c r="C16" s="139" t="s">
        <v>276</v>
      </c>
      <c r="D16" s="139" t="s">
        <v>277</v>
      </c>
      <c r="E16" s="139" t="s">
        <v>278</v>
      </c>
      <c r="F16" s="139" t="s">
        <v>210</v>
      </c>
      <c r="G16" s="140" t="s">
        <v>279</v>
      </c>
    </row>
    <row r="17" spans="1:7" ht="35" customHeight="1">
      <c r="A17" s="139" t="s">
        <v>280</v>
      </c>
      <c r="B17" s="139" t="s">
        <v>281</v>
      </c>
      <c r="C17" s="139" t="s">
        <v>282</v>
      </c>
      <c r="D17" s="139" t="s">
        <v>283</v>
      </c>
      <c r="E17" s="139" t="s">
        <v>284</v>
      </c>
      <c r="F17" s="139" t="s">
        <v>210</v>
      </c>
      <c r="G17" s="140" t="s">
        <v>285</v>
      </c>
    </row>
    <row r="18" spans="1:7" ht="35" customHeight="1">
      <c r="A18" s="139" t="s">
        <v>286</v>
      </c>
      <c r="B18" s="139" t="s">
        <v>287</v>
      </c>
      <c r="C18" s="139" t="s">
        <v>288</v>
      </c>
      <c r="D18" s="139" t="s">
        <v>289</v>
      </c>
      <c r="E18" s="139" t="s">
        <v>290</v>
      </c>
      <c r="F18" s="139" t="s">
        <v>210</v>
      </c>
      <c r="G18" s="140" t="s">
        <v>291</v>
      </c>
    </row>
    <row r="19" spans="1:7" ht="35" customHeight="1">
      <c r="A19" s="139" t="s">
        <v>292</v>
      </c>
      <c r="B19" s="139" t="s">
        <v>293</v>
      </c>
      <c r="C19" s="139" t="s">
        <v>239</v>
      </c>
      <c r="D19" s="139" t="s">
        <v>294</v>
      </c>
      <c r="E19" s="139" t="s">
        <v>295</v>
      </c>
      <c r="F19" s="139" t="s">
        <v>242</v>
      </c>
      <c r="G19" s="140" t="s">
        <v>296</v>
      </c>
    </row>
    <row r="20" spans="1:7" ht="35" customHeight="1">
      <c r="A20" s="139" t="s">
        <v>297</v>
      </c>
      <c r="B20" s="139" t="s">
        <v>298</v>
      </c>
      <c r="C20" s="139" t="s">
        <v>288</v>
      </c>
      <c r="D20" s="139" t="s">
        <v>299</v>
      </c>
      <c r="E20" s="139" t="s">
        <v>300</v>
      </c>
      <c r="F20" s="139" t="s">
        <v>210</v>
      </c>
      <c r="G20" s="140" t="s">
        <v>301</v>
      </c>
    </row>
    <row r="21" spans="1:7" ht="35" customHeight="1">
      <c r="A21" s="139" t="s">
        <v>302</v>
      </c>
      <c r="B21" s="139" t="s">
        <v>303</v>
      </c>
      <c r="C21" s="139" t="s">
        <v>304</v>
      </c>
      <c r="D21" s="139" t="s">
        <v>305</v>
      </c>
      <c r="E21" s="139" t="s">
        <v>306</v>
      </c>
      <c r="F21" s="139" t="s">
        <v>242</v>
      </c>
      <c r="G21" s="140" t="s">
        <v>307</v>
      </c>
    </row>
    <row r="22" spans="1:7" ht="35" customHeight="1">
      <c r="A22" s="139" t="s">
        <v>308</v>
      </c>
      <c r="B22" s="139" t="s">
        <v>309</v>
      </c>
      <c r="C22" s="139" t="s">
        <v>233</v>
      </c>
      <c r="D22" s="139" t="s">
        <v>310</v>
      </c>
      <c r="E22" s="139" t="s">
        <v>311</v>
      </c>
      <c r="F22" s="139" t="s">
        <v>242</v>
      </c>
      <c r="G22" s="140" t="s">
        <v>312</v>
      </c>
    </row>
    <row r="23" spans="1:7" ht="35" customHeight="1">
      <c r="A23" s="139" t="s">
        <v>313</v>
      </c>
      <c r="B23" s="139" t="s">
        <v>314</v>
      </c>
      <c r="C23" s="139" t="s">
        <v>233</v>
      </c>
      <c r="D23" s="139" t="s">
        <v>315</v>
      </c>
      <c r="E23" s="139" t="s">
        <v>316</v>
      </c>
      <c r="F23" s="139" t="s">
        <v>242</v>
      </c>
      <c r="G23" s="140" t="s">
        <v>317</v>
      </c>
    </row>
    <row r="24" spans="1:7" ht="35" customHeight="1">
      <c r="A24" s="139" t="s">
        <v>318</v>
      </c>
      <c r="B24" s="139" t="s">
        <v>319</v>
      </c>
      <c r="C24" s="139" t="s">
        <v>239</v>
      </c>
      <c r="D24" s="139" t="s">
        <v>320</v>
      </c>
      <c r="E24" s="139" t="s">
        <v>321</v>
      </c>
      <c r="F24" s="139" t="s">
        <v>242</v>
      </c>
      <c r="G24" s="140" t="s">
        <v>322</v>
      </c>
    </row>
    <row r="25" spans="1:7" ht="35" customHeight="1">
      <c r="A25" s="139" t="s">
        <v>323</v>
      </c>
      <c r="B25" s="139" t="s">
        <v>324</v>
      </c>
      <c r="C25" s="139" t="s">
        <v>325</v>
      </c>
      <c r="D25" s="139" t="s">
        <v>326</v>
      </c>
      <c r="E25" s="139" t="s">
        <v>327</v>
      </c>
      <c r="F25" s="139" t="s">
        <v>242</v>
      </c>
      <c r="G25" s="140" t="s">
        <v>328</v>
      </c>
    </row>
    <row r="26" spans="1:7" ht="35" customHeight="1">
      <c r="A26" s="139" t="s">
        <v>329</v>
      </c>
      <c r="B26" s="139" t="s">
        <v>330</v>
      </c>
      <c r="C26" s="139" t="s">
        <v>325</v>
      </c>
      <c r="D26" s="139" t="s">
        <v>331</v>
      </c>
      <c r="E26" s="139" t="s">
        <v>332</v>
      </c>
      <c r="F26" s="139" t="s">
        <v>210</v>
      </c>
      <c r="G26" s="140" t="s">
        <v>333</v>
      </c>
    </row>
    <row r="27" spans="1:7" ht="35" customHeight="1">
      <c r="A27" s="139" t="s">
        <v>334</v>
      </c>
      <c r="B27" s="139" t="s">
        <v>335</v>
      </c>
      <c r="C27" s="139" t="s">
        <v>336</v>
      </c>
      <c r="D27" s="139" t="s">
        <v>337</v>
      </c>
      <c r="E27" s="139" t="s">
        <v>338</v>
      </c>
      <c r="F27" s="139" t="s">
        <v>242</v>
      </c>
      <c r="G27" s="140" t="s">
        <v>339</v>
      </c>
    </row>
    <row r="28" spans="1:7" ht="35" customHeight="1">
      <c r="A28" s="139" t="s">
        <v>340</v>
      </c>
      <c r="B28" s="139" t="s">
        <v>341</v>
      </c>
      <c r="C28" s="139" t="s">
        <v>342</v>
      </c>
      <c r="D28" s="139" t="s">
        <v>343</v>
      </c>
      <c r="E28" s="139" t="s">
        <v>344</v>
      </c>
      <c r="F28" s="139" t="s">
        <v>242</v>
      </c>
      <c r="G28" s="140" t="s">
        <v>345</v>
      </c>
    </row>
    <row r="29" spans="1:7" ht="35" customHeight="1">
      <c r="A29" s="139" t="s">
        <v>346</v>
      </c>
      <c r="B29" s="139" t="s">
        <v>347</v>
      </c>
      <c r="C29" s="139" t="s">
        <v>348</v>
      </c>
      <c r="D29" s="139" t="s">
        <v>349</v>
      </c>
      <c r="E29" s="139" t="s">
        <v>350</v>
      </c>
      <c r="F29" s="139" t="s">
        <v>351</v>
      </c>
      <c r="G29" s="140" t="s">
        <v>352</v>
      </c>
    </row>
    <row r="30" spans="1:7" ht="35" customHeight="1">
      <c r="A30" s="139" t="s">
        <v>353</v>
      </c>
      <c r="B30" s="139" t="s">
        <v>354</v>
      </c>
      <c r="C30" s="139" t="s">
        <v>355</v>
      </c>
      <c r="D30" s="139" t="s">
        <v>356</v>
      </c>
      <c r="E30" s="139" t="s">
        <v>357</v>
      </c>
      <c r="F30" s="139" t="s">
        <v>351</v>
      </c>
      <c r="G30" s="140" t="s">
        <v>358</v>
      </c>
    </row>
    <row r="31" spans="1:7" ht="35" customHeight="1">
      <c r="A31" s="139" t="s">
        <v>359</v>
      </c>
      <c r="B31" s="139" t="s">
        <v>360</v>
      </c>
      <c r="C31" s="139" t="s">
        <v>361</v>
      </c>
      <c r="D31" s="139" t="s">
        <v>362</v>
      </c>
      <c r="E31" s="139" t="s">
        <v>363</v>
      </c>
      <c r="F31" s="139" t="s">
        <v>351</v>
      </c>
      <c r="G31" s="140" t="s">
        <v>364</v>
      </c>
    </row>
    <row r="32" spans="1:7" ht="35" customHeight="1">
      <c r="A32" s="139" t="s">
        <v>365</v>
      </c>
      <c r="B32" s="139" t="s">
        <v>366</v>
      </c>
      <c r="C32" s="139" t="s">
        <v>325</v>
      </c>
      <c r="D32" s="139" t="s">
        <v>367</v>
      </c>
      <c r="E32" s="139" t="s">
        <v>368</v>
      </c>
      <c r="F32" s="139" t="s">
        <v>351</v>
      </c>
      <c r="G32" s="140" t="s">
        <v>369</v>
      </c>
    </row>
    <row r="33" spans="1:7" ht="35" customHeight="1">
      <c r="A33" s="139" t="s">
        <v>370</v>
      </c>
      <c r="B33" s="139" t="s">
        <v>371</v>
      </c>
      <c r="C33" s="139" t="s">
        <v>372</v>
      </c>
      <c r="D33" s="139" t="s">
        <v>373</v>
      </c>
      <c r="E33" s="139" t="s">
        <v>374</v>
      </c>
      <c r="F33" s="139" t="s">
        <v>375</v>
      </c>
      <c r="G33" s="140" t="s">
        <v>376</v>
      </c>
    </row>
    <row r="34" spans="1:7" ht="35" customHeight="1">
      <c r="A34" s="139" t="s">
        <v>377</v>
      </c>
      <c r="B34" s="139" t="s">
        <v>378</v>
      </c>
      <c r="C34" s="139" t="s">
        <v>288</v>
      </c>
      <c r="D34" s="139" t="s">
        <v>379</v>
      </c>
      <c r="E34" s="139" t="s">
        <v>380</v>
      </c>
      <c r="F34" s="139" t="s">
        <v>381</v>
      </c>
      <c r="G34" s="140" t="s">
        <v>382</v>
      </c>
    </row>
    <row r="35" spans="1:7" ht="35" customHeight="1">
      <c r="A35" s="139" t="s">
        <v>383</v>
      </c>
      <c r="B35" s="139" t="s">
        <v>384</v>
      </c>
      <c r="C35" s="139" t="s">
        <v>385</v>
      </c>
      <c r="D35" s="139" t="s">
        <v>386</v>
      </c>
      <c r="E35" s="139" t="s">
        <v>387</v>
      </c>
      <c r="F35" s="139" t="s">
        <v>381</v>
      </c>
      <c r="G35" s="140" t="s">
        <v>388</v>
      </c>
    </row>
    <row r="36" spans="1:7" ht="35" customHeight="1">
      <c r="A36" s="139" t="s">
        <v>389</v>
      </c>
      <c r="B36" s="139" t="s">
        <v>390</v>
      </c>
      <c r="C36" s="139" t="s">
        <v>391</v>
      </c>
      <c r="D36" s="139" t="s">
        <v>392</v>
      </c>
      <c r="E36" s="139" t="s">
        <v>393</v>
      </c>
      <c r="F36" s="139" t="s">
        <v>381</v>
      </c>
      <c r="G36" s="140" t="s">
        <v>394</v>
      </c>
    </row>
    <row r="37" spans="1:7" ht="35" customHeight="1">
      <c r="A37" s="139" t="s">
        <v>395</v>
      </c>
      <c r="B37" s="139" t="s">
        <v>396</v>
      </c>
      <c r="C37" s="139" t="s">
        <v>361</v>
      </c>
      <c r="D37" s="139" t="s">
        <v>397</v>
      </c>
      <c r="E37" s="139" t="s">
        <v>398</v>
      </c>
      <c r="F37" s="139" t="s">
        <v>381</v>
      </c>
      <c r="G37" s="140" t="s">
        <v>399</v>
      </c>
    </row>
    <row r="38" spans="1:7" ht="35" customHeight="1">
      <c r="A38" s="139" t="s">
        <v>400</v>
      </c>
      <c r="B38" s="139" t="s">
        <v>401</v>
      </c>
      <c r="C38" s="139" t="s">
        <v>402</v>
      </c>
      <c r="D38" s="139" t="s">
        <v>403</v>
      </c>
      <c r="E38" s="139" t="s">
        <v>404</v>
      </c>
      <c r="F38" s="139" t="s">
        <v>381</v>
      </c>
      <c r="G38" s="140" t="s">
        <v>405</v>
      </c>
    </row>
    <row r="39" spans="1:7" ht="35" customHeight="1">
      <c r="A39" s="139" t="s">
        <v>406</v>
      </c>
      <c r="B39" s="139" t="s">
        <v>407</v>
      </c>
      <c r="C39" s="139" t="s">
        <v>408</v>
      </c>
      <c r="D39" s="139" t="s">
        <v>409</v>
      </c>
      <c r="E39" s="139" t="s">
        <v>410</v>
      </c>
      <c r="F39" s="139" t="s">
        <v>381</v>
      </c>
      <c r="G39" s="140" t="s">
        <v>411</v>
      </c>
    </row>
  </sheetData>
  <mergeCells count="2">
    <mergeCell ref="A1:G1"/>
    <mergeCell ref="A2:G2"/>
  </mergeCells>
  <phoneticPr fontId="2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갠트 차트 템플릿</vt:lpstr>
      <vt:lpstr>요구사항-WBS-인수조건-테스트 추적표</vt:lpstr>
      <vt:lpstr>'갠트 차트 템플릿'!Print_Area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혜빈 박</cp:lastModifiedBy>
  <cp:lastPrinted>2026-08-10T03:28:54Z</cp:lastPrinted>
  <dcterms:modified xsi:type="dcterms:W3CDTF">2026-08-10T06:08:37Z</dcterms:modified>
</cp:coreProperties>
</file>